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hidePivotFieldList="1"/>
  <xr:revisionPtr revIDLastSave="0" documentId="13_ncr:1_{DDD5FB67-2C73-414A-92A5-780546F509CE}" xr6:coauthVersionLast="47" xr6:coauthVersionMax="47" xr10:uidLastSave="{00000000-0000-0000-0000-000000000000}"/>
  <bookViews>
    <workbookView xWindow="-108" yWindow="-108" windowWidth="23256" windowHeight="13896" activeTab="2" xr2:uid="{00000000-000D-0000-FFFF-FFFF00000000}"/>
  </bookViews>
  <sheets>
    <sheet name="Админ панель" sheetId="5" r:id="rId1"/>
    <sheet name="Диаграмма" sheetId="4" r:id="rId2"/>
    <sheet name="Недельный" sheetId="3" r:id="rId3"/>
    <sheet name="Сводная" sheetId="2" r:id="rId4"/>
  </sheets>
  <definedNames>
    <definedName name="_xlnm._FilterDatabase" localSheetId="1" hidden="1">Диаграмма!$A$1:$E$161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61" i="4" l="1"/>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E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2" i="5"/>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alcChain>
</file>

<file path=xl/sharedStrings.xml><?xml version="1.0" encoding="utf-8"?>
<sst xmlns="http://schemas.openxmlformats.org/spreadsheetml/2006/main" count="2046" uniqueCount="149">
  <si>
    <t>Номер объявления</t>
  </si>
  <si>
    <t>Город</t>
  </si>
  <si>
    <t>Адрес</t>
  </si>
  <si>
    <t>Категория</t>
  </si>
  <si>
    <t>Просмотры</t>
  </si>
  <si>
    <t>Конверсия из просмотров в контакты</t>
  </si>
  <si>
    <t>Контакты</t>
  </si>
  <si>
    <t>Написали в чат</t>
  </si>
  <si>
    <t>Посмотрели телефон</t>
  </si>
  <si>
    <t>Средняя цена контакта</t>
  </si>
  <si>
    <t>Расходы на объявления</t>
  </si>
  <si>
    <t>Санкт-Петербург</t>
  </si>
  <si>
    <t>Санкт-Петербург, ул. Смолячкова, 21</t>
  </si>
  <si>
    <t>Услуги</t>
  </si>
  <si>
    <t>Акрона</t>
  </si>
  <si>
    <t>Санкт-Петербург, Гражданский пр-т, 116к1</t>
  </si>
  <si>
    <t>Карелия</t>
  </si>
  <si>
    <t>Петрозаводск</t>
  </si>
  <si>
    <t>Петрозаводск, пр-т Ленина</t>
  </si>
  <si>
    <t>Санкт-Петербург, Большая Зеленина ул., 12</t>
  </si>
  <si>
    <t>Колпино</t>
  </si>
  <si>
    <t>Колпино, Городской сад</t>
  </si>
  <si>
    <t>Санкт-Петербург, ул. Савушкина, 2</t>
  </si>
  <si>
    <t>Санкт-Петербург, 1 линия – Кировско-Выборгская</t>
  </si>
  <si>
    <t xml:space="preserve">Канбаров Эмиль </t>
  </si>
  <si>
    <t>Санкт-Петербург, ул. Коллонтай, 20</t>
  </si>
  <si>
    <t>Архангельская область</t>
  </si>
  <si>
    <t>Архангельск</t>
  </si>
  <si>
    <t>Архангельск, пл. Ленина</t>
  </si>
  <si>
    <t>Новгородская область</t>
  </si>
  <si>
    <t>Великий Новгород</t>
  </si>
  <si>
    <t>Великий Новгород, пл. Победы-Софийская</t>
  </si>
  <si>
    <t>Санкт-Петербург, Невский район</t>
  </si>
  <si>
    <t>Санкт-Петербург, Сенная пл., 2</t>
  </si>
  <si>
    <t>Санкт-Петербург, Выборгское ш., 1</t>
  </si>
  <si>
    <t>Санкт-Петербург, Малая Морская ул., 4/1</t>
  </si>
  <si>
    <t>Псковская область</t>
  </si>
  <si>
    <t>Псков</t>
  </si>
  <si>
    <t>Псков, пл. Ленина</t>
  </si>
  <si>
    <t>Вологодская область</t>
  </si>
  <si>
    <t>Вологда</t>
  </si>
  <si>
    <t>Вологда, ул. Марии Ульяновой</t>
  </si>
  <si>
    <t>Пушкин</t>
  </si>
  <si>
    <t>Пушкин, Октябрьский б-р</t>
  </si>
  <si>
    <t>Кронштадт</t>
  </si>
  <si>
    <t>Кронштадт, Якорная пл.</t>
  </si>
  <si>
    <t>Череповец</t>
  </si>
  <si>
    <t>Череповец, Индустриальный район, 176-й микрорайон</t>
  </si>
  <si>
    <t>Санкт-Петербург, 4 линия – Лахтинско-Правобережная</t>
  </si>
  <si>
    <t>Другое</t>
  </si>
  <si>
    <t/>
  </si>
  <si>
    <t>пос. Стрельна, ул. Нижняя Колония, 51А</t>
  </si>
  <si>
    <t>Ленинградская область</t>
  </si>
  <si>
    <t>Светогорск</t>
  </si>
  <si>
    <t>Выборг</t>
  </si>
  <si>
    <t>Выборг, Красная пл.</t>
  </si>
  <si>
    <t>Петергоф</t>
  </si>
  <si>
    <t>Петергоф, Верхний сад</t>
  </si>
  <si>
    <t>Гатчина</t>
  </si>
  <si>
    <t>Гатчина, Центр</t>
  </si>
  <si>
    <t>Санкт-Петербург, 3 линия – Невско-Василеостровская</t>
  </si>
  <si>
    <t>Санкт-Петербург, пр-т Просвещения</t>
  </si>
  <si>
    <t>Санкт-Петербург, 2 линия – Московско-Петроградская</t>
  </si>
  <si>
    <t>Санкт-Петербург, наб. канала Грибоедова, 4</t>
  </si>
  <si>
    <t>Санкт-Петербург, Мебельная ул., 2И</t>
  </si>
  <si>
    <t>Сясьстрой</t>
  </si>
  <si>
    <t>Сясьстрой, ул. 25 Октября</t>
  </si>
  <si>
    <t>Лодейное Поле</t>
  </si>
  <si>
    <t>Санкт-Петербург, Средний пр-т Васильевского острова, 32</t>
  </si>
  <si>
    <t>Кингисепп</t>
  </si>
  <si>
    <t>Сланцы</t>
  </si>
  <si>
    <t>Сланцы, ул. Кирова</t>
  </si>
  <si>
    <t>Зеленогорск</t>
  </si>
  <si>
    <t>Зеленогорск, Комсомольский сквер</t>
  </si>
  <si>
    <t>Тайцы</t>
  </si>
  <si>
    <t>городской пос. Тайцы, Советская ул.</t>
  </si>
  <si>
    <t>Коммунар</t>
  </si>
  <si>
    <t>Коммунар, Ленинградское ш.</t>
  </si>
  <si>
    <t>Санкт-Петербург, Дворцовая пл.</t>
  </si>
  <si>
    <t>Сестрорецк</t>
  </si>
  <si>
    <t>Сестрорецк, пер. Свободы</t>
  </si>
  <si>
    <t>Коммунары</t>
  </si>
  <si>
    <t>пос. Коммунары, Центральная ул.</t>
  </si>
  <si>
    <t>Лебяжье</t>
  </si>
  <si>
    <t>городской пос. Лебяжье, Приморская ул.</t>
  </si>
  <si>
    <t>Санкт-Петербург, пл. Стачек</t>
  </si>
  <si>
    <t>Янино-1</t>
  </si>
  <si>
    <t>городской пос. Янино-1</t>
  </si>
  <si>
    <t>Санкт-Петербург, Кантемировская ул., 25</t>
  </si>
  <si>
    <t>Санкт-Петербург, Бухарестская ул., 30</t>
  </si>
  <si>
    <t>Кудрово</t>
  </si>
  <si>
    <t>Кудрово, мкр-н Южное Кудрово</t>
  </si>
  <si>
    <t>Бугры</t>
  </si>
  <si>
    <t>пос. Бугры, Шоссейная ул., 7Б</t>
  </si>
  <si>
    <t>Мурино</t>
  </si>
  <si>
    <t>Мурино, западный обход Мурино</t>
  </si>
  <si>
    <t>Кировск</t>
  </si>
  <si>
    <t>Кировск, Советская ул.</t>
  </si>
  <si>
    <t>Новое Девяткино</t>
  </si>
  <si>
    <t>д. Новое Девяткино, Главная ул., 48</t>
  </si>
  <si>
    <t>Колтуши</t>
  </si>
  <si>
    <t>Колтуши, деревня Колтуши, 28</t>
  </si>
  <si>
    <t>Сертолово</t>
  </si>
  <si>
    <t>Сертолово, парк Героев</t>
  </si>
  <si>
    <t>Высоцк</t>
  </si>
  <si>
    <t>Высоцк, Центральная ул.</t>
  </si>
  <si>
    <t>Санкт-Петербург, Комендантский пр-т</t>
  </si>
  <si>
    <t>Никольское</t>
  </si>
  <si>
    <t>Приморск</t>
  </si>
  <si>
    <t>Приморск, наб. Лебедева</t>
  </si>
  <si>
    <t>Подпорожье</t>
  </si>
  <si>
    <t>Санкт-Петербург, 5 линия – Фрунзенско-Приморская</t>
  </si>
  <si>
    <t>Санкт-Петербург, Грузовой пр., 13Э</t>
  </si>
  <si>
    <t>Санкт-Петербург, ул. Оптиков</t>
  </si>
  <si>
    <t>Санкт-Петербург, Студенческая ул.</t>
  </si>
  <si>
    <t>городской пос. Новоселье, Красносельское ш.</t>
  </si>
  <si>
    <t>Санкт-Петербург, наб. канала Грибоедова</t>
  </si>
  <si>
    <t>Волосово</t>
  </si>
  <si>
    <t>Неделя</t>
  </si>
  <si>
    <t>Период</t>
  </si>
  <si>
    <t>Звонки</t>
  </si>
  <si>
    <t>Кабинет Авито</t>
  </si>
  <si>
    <t>Название</t>
  </si>
  <si>
    <t>Область</t>
  </si>
  <si>
    <t>Номер на Авито</t>
  </si>
  <si>
    <t>Куда переадресация</t>
  </si>
  <si>
    <t>ID объявления</t>
  </si>
  <si>
    <t>Акрон Услуги</t>
  </si>
  <si>
    <t>Тип</t>
  </si>
  <si>
    <t>8 931 521-43-05</t>
  </si>
  <si>
    <t>8 931 009-42-68</t>
  </si>
  <si>
    <t>Общее</t>
  </si>
  <si>
    <t>Чермет</t>
  </si>
  <si>
    <t>Цветмет</t>
  </si>
  <si>
    <t>АКБ</t>
  </si>
  <si>
    <t>Эл.лом</t>
  </si>
  <si>
    <t>РЗМ</t>
  </si>
  <si>
    <t>Кабель</t>
  </si>
  <si>
    <t>Нержавейка</t>
  </si>
  <si>
    <t>Алюминий</t>
  </si>
  <si>
    <t>Медь</t>
  </si>
  <si>
    <t>Количество по полю Тип</t>
  </si>
  <si>
    <t xml:space="preserve">Нержавейка </t>
  </si>
  <si>
    <t xml:space="preserve">Другое </t>
  </si>
  <si>
    <t>Комментарий</t>
  </si>
  <si>
    <t xml:space="preserve">23.02 - 01.03 </t>
  </si>
  <si>
    <t xml:space="preserve">После того, как сделали упор продвижения на общие объявления, основная часть заявок пришла именно на объявления по металлолому. Основная часть контактов из Спб, цена заявки стала ниже, чем на прошлой неделе. </t>
  </si>
  <si>
    <t>16.02 - 22.02</t>
  </si>
  <si>
    <t xml:space="preserve">Основная часть заявок приходится на общие объявления и АКБ. Из 183 контактов - 129 контактов из Спб. Упор по услугам продвижения на новую неделю сделали на общие объявления. Стремимся к показателю 600 рублей за заявку.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</si>
</sst>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font>
    <font>
      <sz val="11"/>
      <color rgb="FF1478C4"/>
      <name val="Calibri"/>
      <family val="2"/>
    </font>
    <font>
      <b/>
      <sz val="11"/>
      <color theme="0"/>
      <name val="Calibri"/>
      <family val="2"/>
      <charset val="204"/>
      <scheme val="minor"/>
    </font>
    <font>
      <b/>
      <sz val="11"/>
      <color theme="0"/>
      <name val="Calibri"/>
      <family val="2"/>
    </font>
    <font>
      <b/>
      <sz val="11"/>
      <color theme="0"/>
      <name val="Calibri"/>
      <family val="2"/>
      <scheme val="minor"/>
    </font>
    <font>
      <b/>
      <sz val="11"/>
      <color theme="0"/>
      <name val="Calibri"/>
      <family val="2"/>
      <charset val="204"/>
    </font>
    <font>
      <sz val="9"/>
      <color rgb="FF000000"/>
      <name val="Arial"/>
      <family val="2"/>
      <charset val="204"/>
    </font>
    <font>
      <sz val="8"/>
      <name val="Calibri"/>
      <family val="2"/>
    </font>
    <font>
      <b/>
      <sz val="11"/>
      <color theme="1"/>
      <name val="Calibri"/>
      <family val="2"/>
    </font>
  </fonts>
  <fills count="4">
    <fill>
      <patternFill patternType="none"/>
    </fill>
    <fill>
      <patternFill patternType="gray125"/>
    </fill>
    <fill>
      <patternFill patternType="solid">
        <fgColor theme="9" tint="-0.249977111117893"/>
        <bgColor indexed="64"/>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theme="4" tint="0.39997558519241921"/>
      </bottom>
      <diagonal/>
    </border>
  </borders>
  <cellStyleXfs count="1">
    <xf numFmtId="0" fontId="0" fillId="0" borderId="0"/>
  </cellStyleXfs>
  <cellXfs count="28">
    <xf numFmtId="0" fontId="0" fillId="0" borderId="0" xfId="0"/>
    <xf numFmtId="0" fontId="1" fillId="0" borderId="0" xfId="0" applyFont="1"/>
    <xf numFmtId="0" fontId="3" fillId="2" borderId="1" xfId="0" applyFont="1" applyFill="1" applyBorder="1" applyAlignment="1">
      <alignment horizontal="center" vertical="center" wrapText="1"/>
    </xf>
    <xf numFmtId="0" fontId="0" fillId="0" borderId="1" xfId="0" applyBorder="1" applyAlignment="1">
      <alignment horizontal="center" vertical="center"/>
    </xf>
    <xf numFmtId="10" fontId="0" fillId="0" borderId="1" xfId="0" applyNumberFormat="1" applyBorder="1" applyAlignment="1">
      <alignment horizontal="center" vertical="center"/>
    </xf>
    <xf numFmtId="1"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2" fillId="2" borderId="0" xfId="0" applyFont="1" applyFill="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4" fillId="2" borderId="1" xfId="0" applyFont="1" applyFill="1" applyBorder="1" applyAlignment="1">
      <alignment horizontal="center" vertical="center" wrapText="1"/>
    </xf>
    <xf numFmtId="10" fontId="0" fillId="0" borderId="0" xfId="0" applyNumberFormat="1" applyAlignment="1">
      <alignment horizontal="center"/>
    </xf>
    <xf numFmtId="2" fontId="0" fillId="0" borderId="0" xfId="0" applyNumberFormat="1" applyAlignment="1">
      <alignment horizontal="center"/>
    </xf>
    <xf numFmtId="0" fontId="5" fillId="2" borderId="1" xfId="0" applyFont="1" applyFill="1" applyBorder="1" applyAlignment="1">
      <alignment horizontal="center" vertical="center"/>
    </xf>
    <xf numFmtId="0" fontId="6" fillId="0" borderId="0" xfId="0" applyFont="1" applyAlignment="1">
      <alignment horizontal="center"/>
    </xf>
    <xf numFmtId="0" fontId="0" fillId="0" borderId="0" xfId="0" applyFill="1" applyBorder="1"/>
    <xf numFmtId="0" fontId="5" fillId="2" borderId="2" xfId="0" applyFont="1" applyFill="1" applyBorder="1" applyAlignment="1">
      <alignment horizontal="center" vertical="center"/>
    </xf>
    <xf numFmtId="0" fontId="0" fillId="0" borderId="0" xfId="0" applyBorder="1"/>
    <xf numFmtId="0" fontId="8" fillId="3" borderId="3" xfId="0" applyFont="1" applyFill="1" applyBorder="1" applyAlignment="1">
      <alignment horizontal="center" vertical="center"/>
    </xf>
    <xf numFmtId="0" fontId="8" fillId="3" borderId="3" xfId="0" applyFont="1" applyFill="1" applyBorder="1" applyAlignment="1">
      <alignment horizontal="center" vertical="center" wrapText="1"/>
    </xf>
    <xf numFmtId="0" fontId="2" fillId="2" borderId="0" xfId="0" applyFont="1" applyFill="1" applyAlignment="1">
      <alignment horizontal="center" vertical="center" shrinkToFit="1"/>
    </xf>
    <xf numFmtId="0" fontId="0" fillId="0" borderId="0" xfId="0" applyAlignment="1">
      <alignment shrinkToFit="1"/>
    </xf>
    <xf numFmtId="0" fontId="0" fillId="0" borderId="0" xfId="0" applyAlignment="1">
      <alignment horizontal="right"/>
    </xf>
    <xf numFmtId="0" fontId="0" fillId="0" borderId="1" xfId="0" applyFill="1" applyBorder="1" applyAlignment="1">
      <alignment horizontal="center" vertical="center"/>
    </xf>
    <xf numFmtId="0" fontId="0" fillId="0" borderId="1" xfId="0" applyBorder="1" applyAlignment="1">
      <alignment wrapText="1"/>
    </xf>
    <xf numFmtId="0" fontId="0" fillId="0" borderId="0" xfId="0" applyBorder="1" applyAlignment="1">
      <alignment horizontal="center"/>
    </xf>
    <xf numFmtId="0" fontId="0" fillId="0" borderId="0" xfId="0" applyFill="1" applyBorder="1" applyAlignment="1">
      <alignment horizontal="center"/>
    </xf>
    <xf numFmtId="0" fontId="8" fillId="0" borderId="3"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ru-RU"/>
              <a:t>Количество объявлений</a:t>
            </a:r>
          </a:p>
          <a:p>
            <a:pPr>
              <a:defRPr/>
            </a:pPr>
            <a:endParaRPr lang="ru-RU"/>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ru-RU"/>
        </a:p>
      </c:txPr>
    </c:title>
    <c:autoTitleDeleted val="0"/>
    <c:plotArea>
      <c:layout>
        <c:manualLayout>
          <c:layoutTarget val="inner"/>
          <c:xMode val="edge"/>
          <c:yMode val="edge"/>
          <c:x val="0.34762806660208484"/>
          <c:y val="0.13238636363636366"/>
          <c:w val="0.45458634508225904"/>
          <c:h val="0.65501759723216413"/>
        </c:manualLayout>
      </c:layout>
      <c:pieChart>
        <c:varyColors val="1"/>
        <c:ser>
          <c:idx val="0"/>
          <c:order val="0"/>
          <c:tx>
            <c:strRef>
              <c:f>Диаграмма!$B$165</c:f>
              <c:strCache>
                <c:ptCount val="1"/>
                <c:pt idx="0">
                  <c:v>Количество по полю Тип</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5AC-4674-BB93-EAF37D5FF2B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838-46A0-B392-6163C08C796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5AC-4674-BB93-EAF37D5FF2B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5AC-4674-BB93-EAF37D5FF2B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5AC-4674-BB93-EAF37D5FF2B9}"/>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15AC-4674-BB93-EAF37D5FF2B9}"/>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15AC-4674-BB93-EAF37D5FF2B9}"/>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15AC-4674-BB93-EAF37D5FF2B9}"/>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15AC-4674-BB93-EAF37D5FF2B9}"/>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15AC-4674-BB93-EAF37D5FF2B9}"/>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15AC-4674-BB93-EAF37D5FF2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ru-RU"/>
              </a:p>
            </c:txPr>
            <c:dLblPos val="out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Диаграмма!$A$166:$A$176</c:f>
              <c:strCache>
                <c:ptCount val="11"/>
                <c:pt idx="0">
                  <c:v>АКБ</c:v>
                </c:pt>
                <c:pt idx="1">
                  <c:v>Общее</c:v>
                </c:pt>
                <c:pt idx="2">
                  <c:v>Чермет</c:v>
                </c:pt>
                <c:pt idx="3">
                  <c:v>Цветмет</c:v>
                </c:pt>
                <c:pt idx="4">
                  <c:v>Кабель</c:v>
                </c:pt>
                <c:pt idx="5">
                  <c:v>Эл.лом</c:v>
                </c:pt>
                <c:pt idx="6">
                  <c:v>РЗМ</c:v>
                </c:pt>
                <c:pt idx="7">
                  <c:v>Нержавейка </c:v>
                </c:pt>
                <c:pt idx="8">
                  <c:v>Медь</c:v>
                </c:pt>
                <c:pt idx="9">
                  <c:v>Алюминий</c:v>
                </c:pt>
                <c:pt idx="10">
                  <c:v>Другое </c:v>
                </c:pt>
              </c:strCache>
            </c:strRef>
          </c:cat>
          <c:val>
            <c:numRef>
              <c:f>Диаграмма!$B$166:$B$176</c:f>
              <c:numCache>
                <c:formatCode>General</c:formatCode>
                <c:ptCount val="11"/>
                <c:pt idx="0">
                  <c:v>13</c:v>
                </c:pt>
                <c:pt idx="1">
                  <c:v>65</c:v>
                </c:pt>
                <c:pt idx="2">
                  <c:v>2</c:v>
                </c:pt>
                <c:pt idx="3">
                  <c:v>10</c:v>
                </c:pt>
                <c:pt idx="4">
                  <c:v>15</c:v>
                </c:pt>
                <c:pt idx="5">
                  <c:v>11</c:v>
                </c:pt>
                <c:pt idx="6">
                  <c:v>27</c:v>
                </c:pt>
                <c:pt idx="7">
                  <c:v>6</c:v>
                </c:pt>
                <c:pt idx="8">
                  <c:v>4</c:v>
                </c:pt>
                <c:pt idx="9">
                  <c:v>4</c:v>
                </c:pt>
                <c:pt idx="10">
                  <c:v>3</c:v>
                </c:pt>
              </c:numCache>
            </c:numRef>
          </c:val>
          <c:extLst>
            <c:ext xmlns:c16="http://schemas.microsoft.com/office/drawing/2014/chart" uri="{C3380CC4-5D6E-409C-BE32-E72D297353CC}">
              <c16:uniqueId val="{00000000-4838-46A0-B392-6163C08C796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563880</xdr:colOff>
      <xdr:row>163</xdr:row>
      <xdr:rowOff>175260</xdr:rowOff>
    </xdr:from>
    <xdr:to>
      <xdr:col>4</xdr:col>
      <xdr:colOff>15240</xdr:colOff>
      <xdr:row>183</xdr:row>
      <xdr:rowOff>137160</xdr:rowOff>
    </xdr:to>
    <xdr:graphicFrame macro="">
      <xdr:nvGraphicFramePr>
        <xdr:cNvPr id="2" name="Диаграмма 1">
          <a:extLst>
            <a:ext uri="{FF2B5EF4-FFF2-40B4-BE49-F238E27FC236}">
              <a16:creationId xmlns:a16="http://schemas.microsoft.com/office/drawing/2014/main" id="{0811E38A-7070-E7A3-AEB7-B6E66C0BF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9489-412A-4DEF-ACC9-DBBE44AE38CE}">
  <dimension ref="A1:H161"/>
  <sheetViews>
    <sheetView workbookViewId="0">
      <selection activeCell="B32" sqref="B32"/>
    </sheetView>
  </sheetViews>
  <sheetFormatPr defaultRowHeight="14.4" x14ac:dyDescent="0.3"/>
  <cols>
    <col min="1" max="1" width="18.6640625" customWidth="1"/>
    <col min="2" max="2" width="47.33203125" style="21" customWidth="1"/>
    <col min="3" max="3" width="21.33203125" customWidth="1"/>
    <col min="4" max="4" width="24.109375" customWidth="1"/>
    <col min="5" max="5" width="39.44140625" customWidth="1"/>
    <col min="6" max="6" width="21.6640625" customWidth="1"/>
    <col min="7" max="7" width="20.33203125" customWidth="1"/>
    <col min="8" max="8" width="13.5546875" style="8" customWidth="1"/>
  </cols>
  <sheetData>
    <row r="1" spans="1:8" ht="28.8" x14ac:dyDescent="0.3">
      <c r="A1" s="7" t="s">
        <v>121</v>
      </c>
      <c r="B1" s="20" t="s">
        <v>122</v>
      </c>
      <c r="C1" s="7" t="s">
        <v>123</v>
      </c>
      <c r="D1" s="7" t="s">
        <v>1</v>
      </c>
      <c r="E1" s="7" t="s">
        <v>2</v>
      </c>
      <c r="F1" s="7" t="s">
        <v>124</v>
      </c>
      <c r="G1" s="7" t="s">
        <v>125</v>
      </c>
      <c r="H1" s="7" t="s">
        <v>126</v>
      </c>
    </row>
    <row r="2" spans="1:8" x14ac:dyDescent="0.3">
      <c r="A2" s="9" t="s">
        <v>127</v>
      </c>
      <c r="B2" s="1" t="str">
        <f>HYPERLINK("https://www.avito.ru/sankt-peterburg/uslugi/priem_metalloloma_vyvoz_metalloloma_demontazh_7805824719","Прием металлолома / вывоз металлолома / демонтаж")</f>
        <v>Прием металлолома / вывоз металлолома / демонтаж</v>
      </c>
      <c r="D2" t="s">
        <v>11</v>
      </c>
      <c r="E2" t="s">
        <v>22</v>
      </c>
      <c r="F2" s="14" t="s">
        <v>130</v>
      </c>
      <c r="G2" s="8" t="s">
        <v>14</v>
      </c>
      <c r="H2" s="8" t="str">
        <f>HYPERLINK("https://www.avito.ru/sankt-peterburg/uslugi/priem_metalloloma_vyvoz_metalloloma_demontazh_7805824719","7805824719")</f>
        <v>7805824719</v>
      </c>
    </row>
    <row r="3" spans="1:8" x14ac:dyDescent="0.3">
      <c r="A3" s="9" t="s">
        <v>127</v>
      </c>
      <c r="B3" s="1" t="str">
        <f>HYPERLINK("https://www.avito.ru/sankt-peterburg/uslugi/skupka_i_vyvoz_metalloloma_v_spb_i_lo_s_demontazhem_7805608788","Скупка и вывоз металлолома в СПб и ло с демонтажем")</f>
        <v>Скупка и вывоз металлолома в СПб и ло с демонтажем</v>
      </c>
      <c r="D3" t="s">
        <v>11</v>
      </c>
      <c r="E3" t="s">
        <v>15</v>
      </c>
      <c r="F3" s="14" t="s">
        <v>130</v>
      </c>
      <c r="G3" s="8" t="s">
        <v>14</v>
      </c>
      <c r="H3" s="8" t="str">
        <f>HYPERLINK("https://www.avito.ru/sankt-peterburg/uslugi/skupka_i_vyvoz_metalloloma_v_spb_i_lo_s_demontazhem_7805608788","7805608788")</f>
        <v>7805608788</v>
      </c>
    </row>
    <row r="4" spans="1:8" x14ac:dyDescent="0.3">
      <c r="A4" s="9" t="s">
        <v>127</v>
      </c>
      <c r="B4" s="1" t="str">
        <f>HYPERLINK("https://www.avito.ru/sankt-peterburg/uslugi/sdat_staryy_akkumulyator._priem_akkumulyatorov_7805642809","Сдать старый аккумулятор. Приём аккумуляторов")</f>
        <v>Сдать старый аккумулятор. Приём аккумуляторов</v>
      </c>
      <c r="D4" t="s">
        <v>11</v>
      </c>
      <c r="E4" t="s">
        <v>12</v>
      </c>
      <c r="F4" s="14" t="s">
        <v>130</v>
      </c>
      <c r="G4" s="8" t="s">
        <v>14</v>
      </c>
      <c r="H4" s="8" t="str">
        <f>HYPERLINK("https://www.avito.ru/sankt-peterburg/uslugi/sdat_staryy_akkumulyator._priem_akkumulyatorov_7805642809","7805642809")</f>
        <v>7805642809</v>
      </c>
    </row>
    <row r="5" spans="1:8" x14ac:dyDescent="0.3">
      <c r="A5" s="9" t="s">
        <v>127</v>
      </c>
      <c r="B5" s="1" t="str">
        <f>HYPERLINK("https://www.avito.ru/sankt-peterburg_kolpino/uslugi/sdat_staryy_akkumulyator._priem_akkumulyatorov_7804981231","Сдать старый аккумулятор. Приём аккумуляторов")</f>
        <v>Сдать старый аккумулятор. Приём аккумуляторов</v>
      </c>
      <c r="C5" t="s">
        <v>11</v>
      </c>
      <c r="D5" t="s">
        <v>20</v>
      </c>
      <c r="E5" t="s">
        <v>21</v>
      </c>
      <c r="F5" s="14" t="s">
        <v>130</v>
      </c>
      <c r="G5" s="8" t="s">
        <v>14</v>
      </c>
      <c r="H5" s="8" t="str">
        <f>HYPERLINK("https://www.avito.ru/sankt-peterburg_kolpino/uslugi/sdat_staryy_akkumulyator._priem_akkumulyatorov_7804981231","7804981231")</f>
        <v>7804981231</v>
      </c>
    </row>
    <row r="6" spans="1:8" x14ac:dyDescent="0.3">
      <c r="A6" s="9" t="s">
        <v>127</v>
      </c>
      <c r="B6" s="1" t="str">
        <f>HYPERLINK("https://www.avito.ru/petrozavodsk/uslugi/sdat_staryy_akkumulyator._priem_akkumulyatorov_7837417818","Сдать старый аккумулятор. Приём аккумуляторов")</f>
        <v>Сдать старый аккумулятор. Приём аккумуляторов</v>
      </c>
      <c r="C6" t="s">
        <v>16</v>
      </c>
      <c r="D6" t="s">
        <v>17</v>
      </c>
      <c r="E6" t="s">
        <v>18</v>
      </c>
      <c r="F6" s="14" t="s">
        <v>130</v>
      </c>
      <c r="G6" s="8" t="s">
        <v>14</v>
      </c>
      <c r="H6" s="8" t="str">
        <f>HYPERLINK("https://www.avito.ru/petrozavodsk/uslugi/sdat_staryy_akkumulyator._priem_akkumulyatorov_7837417818","7837417818")</f>
        <v>7837417818</v>
      </c>
    </row>
    <row r="7" spans="1:8" x14ac:dyDescent="0.3">
      <c r="A7" s="9" t="s">
        <v>127</v>
      </c>
      <c r="B7" s="1" t="str">
        <f>HYPERLINK("https://www.avito.ru/sankt-peterburg/uslugi/priem_metalloloma_vyvoz_metalloloma_demontazh_7805087624","Прием металлолома / Вывоз металлолома / Демонтаж")</f>
        <v>Прием металлолома / Вывоз металлолома / Демонтаж</v>
      </c>
      <c r="D7" t="s">
        <v>11</v>
      </c>
      <c r="E7" t="s">
        <v>34</v>
      </c>
      <c r="F7" s="14" t="s">
        <v>130</v>
      </c>
      <c r="G7" s="8" t="s">
        <v>14</v>
      </c>
      <c r="H7" s="8" t="str">
        <f>HYPERLINK("https://www.avito.ru/sankt-peterburg/uslugi/priem_metalloloma_vyvoz_metalloloma_demontazh_7805087624","7805087624")</f>
        <v>7805087624</v>
      </c>
    </row>
    <row r="8" spans="1:8" x14ac:dyDescent="0.3">
      <c r="A8" s="9" t="s">
        <v>127</v>
      </c>
      <c r="B8" s="1" t="str">
        <f>HYPERLINK("https://www.avito.ru/arhangelsk/uslugi/sdat_staryy_akkumulyator._priem_akkumulyatorov_7837068432","Сдать старый аккумулятор. Приём аккумуляторов")</f>
        <v>Сдать старый аккумулятор. Приём аккумуляторов</v>
      </c>
      <c r="C8" t="s">
        <v>26</v>
      </c>
      <c r="D8" t="s">
        <v>27</v>
      </c>
      <c r="E8" t="s">
        <v>28</v>
      </c>
      <c r="F8" s="14" t="s">
        <v>130</v>
      </c>
      <c r="G8" s="8" t="s">
        <v>14</v>
      </c>
      <c r="H8" s="8" t="str">
        <f>HYPERLINK("https://www.avito.ru/arhangelsk/uslugi/sdat_staryy_akkumulyator._priem_akkumulyatorov_7837068432","7837068432")</f>
        <v>7837068432</v>
      </c>
    </row>
    <row r="9" spans="1:8" x14ac:dyDescent="0.3">
      <c r="A9" s="9" t="s">
        <v>127</v>
      </c>
      <c r="B9" s="1" t="str">
        <f>HYPERLINK("https://www.avito.ru/sankt-peterburg/uslugi/vyvoz_metalloloma_priem_metalloloma_demontazh_7837394301","Вывоз металлолома / Прием металлолома / демонтаж")</f>
        <v>Вывоз металлолома / Прием металлолома / демонтаж</v>
      </c>
      <c r="D9" t="s">
        <v>11</v>
      </c>
      <c r="E9" t="s">
        <v>22</v>
      </c>
      <c r="F9" s="14" t="s">
        <v>130</v>
      </c>
      <c r="G9" s="8" t="s">
        <v>14</v>
      </c>
      <c r="H9" s="8" t="str">
        <f>HYPERLINK("https://www.avito.ru/sankt-peterburg/uslugi/vyvoz_metalloloma_priem_metalloloma_demontazh_7837394301","7837394301")</f>
        <v>7837394301</v>
      </c>
    </row>
    <row r="10" spans="1:8" x14ac:dyDescent="0.3">
      <c r="A10" s="9" t="s">
        <v>127</v>
      </c>
      <c r="B10" s="1" t="str">
        <f>HYPERLINK("https://www.avito.ru/sankt-peterburg/uslugi/priem_i_vyvoz_metalloloma_samovyvoz_loma_demontazh_7837591796","Прием и вывоз металлолома самовывоз лома демонтаж")</f>
        <v>Прием и вывоз металлолома самовывоз лома демонтаж</v>
      </c>
      <c r="D10" t="s">
        <v>11</v>
      </c>
      <c r="E10" t="s">
        <v>61</v>
      </c>
      <c r="F10" s="14" t="s">
        <v>130</v>
      </c>
      <c r="G10" s="8" t="s">
        <v>14</v>
      </c>
      <c r="H10" s="8" t="str">
        <f>HYPERLINK("https://www.avito.ru/sankt-peterburg/uslugi/priem_i_vyvoz_metalloloma_samovyvoz_loma_demontazh_7837591796","7837591796")</f>
        <v>7837591796</v>
      </c>
    </row>
    <row r="11" spans="1:8" x14ac:dyDescent="0.3">
      <c r="A11" s="9" t="s">
        <v>127</v>
      </c>
      <c r="B11" s="1" t="str">
        <f>HYPERLINK("https://www.avito.ru/sankt-peterburg/uslugi/sdat_chermet_priem_vyvoz_metalloloma_7869031021","Сдать чермет Прием Вывоз металлолома")</f>
        <v>Сдать чермет Прием Вывоз металлолома</v>
      </c>
      <c r="D11" t="s">
        <v>11</v>
      </c>
      <c r="E11" t="s">
        <v>63</v>
      </c>
      <c r="F11" s="14" t="s">
        <v>130</v>
      </c>
      <c r="G11" s="8" t="s">
        <v>14</v>
      </c>
      <c r="H11" s="8" t="str">
        <f>HYPERLINK("https://www.avito.ru/sankt-peterburg/uslugi/sdat_chermet_priem_vyvoz_metalloloma_7869031021","7869031021")</f>
        <v>7869031021</v>
      </c>
    </row>
    <row r="12" spans="1:8" x14ac:dyDescent="0.3">
      <c r="A12" s="9" t="s">
        <v>127</v>
      </c>
      <c r="B12" s="1" t="str">
        <f>HYPERLINK("https://www.avito.ru/sankt-peterburg_kolpino/uslugi/priem_metalloloma_vyvoz_metalloloma_demontazh_7805527338","Прием металлолома / вывоз металлолома / демонтаж")</f>
        <v>Прием металлолома / вывоз металлолома / демонтаж</v>
      </c>
      <c r="C12" t="s">
        <v>11</v>
      </c>
      <c r="D12" t="s">
        <v>20</v>
      </c>
      <c r="E12" t="s">
        <v>21</v>
      </c>
      <c r="F12" s="14" t="s">
        <v>130</v>
      </c>
      <c r="G12" s="8" t="s">
        <v>14</v>
      </c>
      <c r="H12" s="8" t="str">
        <f>HYPERLINK("https://www.avito.ru/sankt-peterburg_kolpino/uslugi/priem_metalloloma_vyvoz_metalloloma_demontazh_7805527338","7805527338")</f>
        <v>7805527338</v>
      </c>
    </row>
    <row r="13" spans="1:8" x14ac:dyDescent="0.3">
      <c r="A13" s="9" t="s">
        <v>127</v>
      </c>
      <c r="B13" s="1" t="str">
        <f>HYPERLINK("https://www.avito.ru/cherepovets/uslugi/sdat_staryy_akkumulyator._priem_akkumulyatorov_7836956803","Сдать старый аккумулятор. Приём аккумуляторов")</f>
        <v>Сдать старый аккумулятор. Приём аккумуляторов</v>
      </c>
      <c r="C13" t="s">
        <v>39</v>
      </c>
      <c r="D13" t="s">
        <v>46</v>
      </c>
      <c r="E13" t="s">
        <v>47</v>
      </c>
      <c r="F13" s="14" t="s">
        <v>130</v>
      </c>
      <c r="G13" s="8" t="s">
        <v>14</v>
      </c>
      <c r="H13" s="8" t="str">
        <f>HYPERLINK("https://www.avito.ru/cherepovets/uslugi/sdat_staryy_akkumulyator._priem_akkumulyatorov_7836956803","7836956803")</f>
        <v>7836956803</v>
      </c>
    </row>
    <row r="14" spans="1:8" x14ac:dyDescent="0.3">
      <c r="A14" s="9" t="s">
        <v>127</v>
      </c>
      <c r="B14" s="1" t="str">
        <f>HYPERLINK("https://www.avito.ru/velikiy_novgorod/uslugi/sdat_staryy_akkumulyator._priem_akkumulyatorov_7837165224","Сдать старый аккумулятор. Приём аккумуляторов")</f>
        <v>Сдать старый аккумулятор. Приём аккумуляторов</v>
      </c>
      <c r="C14" t="s">
        <v>29</v>
      </c>
      <c r="D14" t="s">
        <v>30</v>
      </c>
      <c r="E14" t="s">
        <v>31</v>
      </c>
      <c r="F14" s="14" t="s">
        <v>130</v>
      </c>
      <c r="G14" s="8" t="s">
        <v>14</v>
      </c>
      <c r="H14" s="8" t="str">
        <f>HYPERLINK("https://www.avito.ru/velikiy_novgorod/uslugi/sdat_staryy_akkumulyator._priem_akkumulyatorov_7837165224","7837165224")</f>
        <v>7837165224</v>
      </c>
    </row>
    <row r="15" spans="1:8" x14ac:dyDescent="0.3">
      <c r="A15" s="9" t="s">
        <v>127</v>
      </c>
      <c r="B15" s="1" t="str">
        <f>HYPERLINK("https://www.avito.ru/sankt-peterburg/uslugi/priem_bystrorezhuschey_stalisdat_lom_7837597444","Прием быстрорежущей стали/сдать лом")</f>
        <v>Прием быстрорежущей стали/сдать лом</v>
      </c>
      <c r="D15" t="s">
        <v>11</v>
      </c>
      <c r="E15" t="s">
        <v>23</v>
      </c>
      <c r="F15" s="14" t="s">
        <v>129</v>
      </c>
      <c r="G15" s="8" t="s">
        <v>24</v>
      </c>
      <c r="H15" s="8" t="str">
        <f>HYPERLINK("https://www.avito.ru/sankt-peterburg/uslugi/priem_bystrorezhuschey_stalisdat_lom_7837597444","7837597444")</f>
        <v>7837597444</v>
      </c>
    </row>
    <row r="16" spans="1:8" x14ac:dyDescent="0.3">
      <c r="A16" s="9" t="s">
        <v>127</v>
      </c>
      <c r="B16" s="1" t="str">
        <f>HYPERLINK("https://www.avito.ru/sankt-peterburg_pushkin/uslugi/priem_metalloloma_vyvoz_metalloloma_demontazh_7805515572","Прием металлолома / вывоз металлолома / демонтаж")</f>
        <v>Прием металлолома / вывоз металлолома / демонтаж</v>
      </c>
      <c r="C16" t="s">
        <v>11</v>
      </c>
      <c r="D16" t="s">
        <v>42</v>
      </c>
      <c r="E16" t="s">
        <v>43</v>
      </c>
      <c r="F16" s="14" t="s">
        <v>130</v>
      </c>
      <c r="G16" s="8" t="s">
        <v>14</v>
      </c>
      <c r="H16" s="8" t="str">
        <f>HYPERLINK("https://www.avito.ru/sankt-peterburg_pushkin/uslugi/priem_metalloloma_vyvoz_metalloloma_demontazh_7805515572","7805515572")</f>
        <v>7805515572</v>
      </c>
    </row>
    <row r="17" spans="1:8" x14ac:dyDescent="0.3">
      <c r="A17" s="9" t="s">
        <v>127</v>
      </c>
      <c r="B17" s="1" t="str">
        <f>HYPERLINK("https://www.avito.ru/sankt-peterburg/uslugi/priem_tsvetnogo_metalla_priem_metalloloma_7836963610","Прием цветного металла Прием металлолома")</f>
        <v>Прием цветного металла Прием металлолома</v>
      </c>
      <c r="D17" t="s">
        <v>11</v>
      </c>
      <c r="E17" t="s">
        <v>112</v>
      </c>
      <c r="F17" s="14" t="s">
        <v>130</v>
      </c>
      <c r="G17" s="8" t="s">
        <v>14</v>
      </c>
      <c r="H17" s="8" t="str">
        <f>HYPERLINK("https://www.avito.ru/sankt-peterburg/uslugi/priem_tsvetnogo_metalla_priem_metalloloma_7836963610","7836963610")</f>
        <v>7836963610</v>
      </c>
    </row>
    <row r="18" spans="1:8" x14ac:dyDescent="0.3">
      <c r="A18" s="9" t="s">
        <v>127</v>
      </c>
      <c r="B18" s="1" t="str">
        <f>HYPERLINK("https://www.avito.ru/pskov/uslugi/skupka_i_vyvoz_metalloloma_s_demontazhem_7804999460","Скупка и вывоз металлолома с демонтажем")</f>
        <v>Скупка и вывоз металлолома с демонтажем</v>
      </c>
      <c r="C18" t="s">
        <v>36</v>
      </c>
      <c r="D18" t="s">
        <v>37</v>
      </c>
      <c r="E18" t="s">
        <v>38</v>
      </c>
      <c r="F18" s="14" t="s">
        <v>130</v>
      </c>
      <c r="G18" s="8" t="s">
        <v>14</v>
      </c>
      <c r="H18" s="8" t="str">
        <f>HYPERLINK("https://www.avito.ru/pskov/uslugi/skupka_i_vyvoz_metalloloma_s_demontazhem_7804999460","7804999460")</f>
        <v>7804999460</v>
      </c>
    </row>
    <row r="19" spans="1:8" x14ac:dyDescent="0.3">
      <c r="A19" s="9" t="s">
        <v>127</v>
      </c>
      <c r="B19" s="1" t="str">
        <f>HYPERLINK("https://www.avito.ru/sankt-peterburg_kolpino/uslugi/priem_i_vyvoz_metalloloma_7805003741","Прием и вывоз металлолома")</f>
        <v>Прием и вывоз металлолома</v>
      </c>
      <c r="C19" t="s">
        <v>11</v>
      </c>
      <c r="D19" t="s">
        <v>20</v>
      </c>
      <c r="E19" t="s">
        <v>21</v>
      </c>
      <c r="F19" s="14" t="s">
        <v>130</v>
      </c>
      <c r="G19" s="8" t="s">
        <v>14</v>
      </c>
      <c r="H19" s="8" t="str">
        <f>HYPERLINK("https://www.avito.ru/sankt-peterburg_kolpino/uslugi/priem_i_vyvoz_metalloloma_7805003741","7805003741")</f>
        <v>7805003741</v>
      </c>
    </row>
    <row r="20" spans="1:8" x14ac:dyDescent="0.3">
      <c r="A20" s="9" t="s">
        <v>127</v>
      </c>
      <c r="B20" s="1" t="str">
        <f>HYPERLINK("https://www.avito.ru/sankt-peterburg/uslugi/priem_i_vyvoz_metalloloma_samovyvoz_loma_7805547972","Прием и вывоз металлолома / Самовывоз лома")</f>
        <v>Прием и вывоз металлолома / Самовывоз лома</v>
      </c>
      <c r="D20" t="s">
        <v>11</v>
      </c>
      <c r="E20" t="s">
        <v>35</v>
      </c>
      <c r="F20" s="14" t="s">
        <v>130</v>
      </c>
      <c r="G20" s="8" t="s">
        <v>14</v>
      </c>
      <c r="H20" s="8" t="str">
        <f>HYPERLINK("https://www.avito.ru/sankt-peterburg/uslugi/priem_i_vyvoz_metalloloma_samovyvoz_loma_7805547972","7805547972")</f>
        <v>7805547972</v>
      </c>
    </row>
    <row r="21" spans="1:8" x14ac:dyDescent="0.3">
      <c r="A21" s="9" t="s">
        <v>127</v>
      </c>
      <c r="B21" s="1" t="str">
        <f>HYPERLINK("https://www.avito.ru/pskov/uslugi/priem_provodov._skupka_7869000223","Прием проводов. Скупка")</f>
        <v>Прием проводов. Скупка</v>
      </c>
      <c r="C21" t="s">
        <v>36</v>
      </c>
      <c r="D21" t="s">
        <v>37</v>
      </c>
      <c r="E21" t="s">
        <v>38</v>
      </c>
      <c r="F21" s="14" t="s">
        <v>130</v>
      </c>
      <c r="G21" s="8" t="s">
        <v>14</v>
      </c>
      <c r="H21" s="8" t="str">
        <f>HYPERLINK("https://www.avito.ru/pskov/uslugi/priem_provodov._skupka_7869000223","7869000223")</f>
        <v>7869000223</v>
      </c>
    </row>
    <row r="22" spans="1:8" x14ac:dyDescent="0.3">
      <c r="A22" s="9" t="s">
        <v>127</v>
      </c>
      <c r="B22" s="1" t="str">
        <f>HYPERLINK("https://www.avito.ru/velikiy_novgorod/uslugi/priem_plat_i_elektronnogo_loma._skupka_plat_7869768110","Прием плат и электронного лома. Скупка плат")</f>
        <v>Прием плат и электронного лома. Скупка плат</v>
      </c>
      <c r="C22" t="s">
        <v>29</v>
      </c>
      <c r="D22" t="s">
        <v>30</v>
      </c>
      <c r="E22" t="s">
        <v>31</v>
      </c>
      <c r="F22" s="14" t="s">
        <v>130</v>
      </c>
      <c r="G22" s="8" t="s">
        <v>14</v>
      </c>
      <c r="H22" s="8" t="str">
        <f>HYPERLINK("https://www.avito.ru/velikiy_novgorod/uslugi/priem_plat_i_elektronnogo_loma._skupka_plat_7869768110","7869768110")</f>
        <v>7869768110</v>
      </c>
    </row>
    <row r="23" spans="1:8" x14ac:dyDescent="0.3">
      <c r="A23" s="9" t="s">
        <v>127</v>
      </c>
      <c r="B23" s="1" t="str">
        <f>HYPERLINK("https://www.avito.ru/sankt-peterburg_pushkin/uslugi/priem_plat_i_elektronnogo_loma._skupka_plat_7804957025","Прием плат и электронного лома. Скупка плат")</f>
        <v>Прием плат и электронного лома. Скупка плат</v>
      </c>
      <c r="C23" t="s">
        <v>11</v>
      </c>
      <c r="D23" t="s">
        <v>42</v>
      </c>
      <c r="E23" t="s">
        <v>43</v>
      </c>
      <c r="F23" s="14" t="s">
        <v>130</v>
      </c>
      <c r="G23" s="8" t="s">
        <v>14</v>
      </c>
      <c r="H23" s="8" t="str">
        <f>HYPERLINK("https://www.avito.ru/sankt-peterburg_pushkin/uslugi/priem_plat_i_elektronnogo_loma._skupka_plat_7804957025","7804957025")</f>
        <v>7804957025</v>
      </c>
    </row>
    <row r="24" spans="1:8" x14ac:dyDescent="0.3">
      <c r="A24" s="9" t="s">
        <v>127</v>
      </c>
      <c r="B24" s="1" t="str">
        <f>HYPERLINK("https://www.avito.ru/sankt-peterburg_kolpino/uslugi/priem_plat_i_elektronnogo_loma._skupka_plat_7805027133","Прием плат и электронного лома. Скупка плат")</f>
        <v>Прием плат и электронного лома. Скупка плат</v>
      </c>
      <c r="C24" t="s">
        <v>11</v>
      </c>
      <c r="D24" t="s">
        <v>20</v>
      </c>
      <c r="E24" t="s">
        <v>21</v>
      </c>
      <c r="F24" s="14" t="s">
        <v>130</v>
      </c>
      <c r="G24" s="8" t="s">
        <v>14</v>
      </c>
      <c r="H24" s="8" t="str">
        <f>HYPERLINK("https://www.avito.ru/sankt-peterburg_kolpino/uslugi/priem_plat_i_elektronnogo_loma._skupka_plat_7805027133","7805027133")</f>
        <v>7805027133</v>
      </c>
    </row>
    <row r="25" spans="1:8" x14ac:dyDescent="0.3">
      <c r="A25" s="9" t="s">
        <v>127</v>
      </c>
      <c r="B25" s="1" t="str">
        <f>HYPERLINK("https://www.avito.ru/sankt-peterburg_pushkin/uslugi/priem_bu_akkumulyatorov_akb_7805155781","Прием бу аккумуляторов АКБ")</f>
        <v>Прием бу аккумуляторов АКБ</v>
      </c>
      <c r="C25" t="s">
        <v>11</v>
      </c>
      <c r="D25" t="s">
        <v>42</v>
      </c>
      <c r="E25" t="s">
        <v>43</v>
      </c>
      <c r="F25" s="14" t="s">
        <v>130</v>
      </c>
      <c r="G25" s="8" t="s">
        <v>14</v>
      </c>
      <c r="H25" s="8" t="str">
        <f>HYPERLINK("https://www.avito.ru/sankt-peterburg_pushkin/uslugi/priem_bu_akkumulyatorov_akb_7805155781","7805155781")</f>
        <v>7805155781</v>
      </c>
    </row>
    <row r="26" spans="1:8" x14ac:dyDescent="0.3">
      <c r="A26" s="9" t="s">
        <v>127</v>
      </c>
      <c r="B26" s="1" t="str">
        <f>HYPERLINK("https://www.avito.ru/sankt-peterburg_kronstadt/uslugi/skupka_radiodetaley_plat_priborov_7805163608","Скупка радиодеталей / плат / приборов")</f>
        <v>Скупка радиодеталей / плат / приборов</v>
      </c>
      <c r="C26" t="s">
        <v>11</v>
      </c>
      <c r="D26" t="s">
        <v>44</v>
      </c>
      <c r="E26" t="s">
        <v>45</v>
      </c>
      <c r="F26" s="14" t="s">
        <v>130</v>
      </c>
      <c r="G26" s="8" t="s">
        <v>14</v>
      </c>
      <c r="H26" s="8" t="str">
        <f>HYPERLINK("https://www.avito.ru/sankt-peterburg_kronstadt/uslugi/skupka_radiodetaley_plat_priborov_7805163608","7805163608")</f>
        <v>7805163608</v>
      </c>
    </row>
    <row r="27" spans="1:8" x14ac:dyDescent="0.3">
      <c r="A27" s="9" t="s">
        <v>127</v>
      </c>
      <c r="B27" s="1" t="str">
        <f>HYPERLINK("https://www.avito.ru/sankt-peterburg_kolpino/uslugi/priem_avtomobilnyh_akkumulyatorov_bu_7805336972","Прием автомобильных аккумуляторов бу")</f>
        <v>Прием автомобильных аккумуляторов бу</v>
      </c>
      <c r="C27" t="s">
        <v>11</v>
      </c>
      <c r="D27" t="s">
        <v>20</v>
      </c>
      <c r="E27" t="s">
        <v>21</v>
      </c>
      <c r="F27" s="14" t="s">
        <v>130</v>
      </c>
      <c r="G27" s="8" t="s">
        <v>14</v>
      </c>
      <c r="H27" s="8" t="str">
        <f>HYPERLINK("https://www.avito.ru/sankt-peterburg_kolpino/uslugi/priem_avtomobilnyh_akkumulyatorov_bu_7805336972","7805336972")</f>
        <v>7805336972</v>
      </c>
    </row>
    <row r="28" spans="1:8" x14ac:dyDescent="0.3">
      <c r="A28" s="9" t="s">
        <v>127</v>
      </c>
      <c r="B28" s="1" t="str">
        <f>HYPERLINK("https://www.avito.ru/velikiy_novgorod/uslugi/priem_metalloloma_vyvoz_metalloloma_demontazh_7805448542","Прием металлолома / вывоз металлолома / демонтаж")</f>
        <v>Прием металлолома / вывоз металлолома / демонтаж</v>
      </c>
      <c r="C28" t="s">
        <v>29</v>
      </c>
      <c r="D28" t="s">
        <v>30</v>
      </c>
      <c r="E28" t="s">
        <v>31</v>
      </c>
      <c r="F28" s="14" t="s">
        <v>130</v>
      </c>
      <c r="G28" s="8" t="s">
        <v>14</v>
      </c>
      <c r="H28" s="8" t="str">
        <f>HYPERLINK("https://www.avito.ru/velikiy_novgorod/uslugi/priem_metalloloma_vyvoz_metalloloma_demontazh_7805448542","7805448542")</f>
        <v>7805448542</v>
      </c>
    </row>
    <row r="29" spans="1:8" x14ac:dyDescent="0.3">
      <c r="A29" s="9" t="s">
        <v>127</v>
      </c>
      <c r="B29" s="1" t="str">
        <f>HYPERLINK("https://www.avito.ru/sankt-peterburg_sestroretsk/uslugi/priem_i_vyvoz_metalloloma_spb_i_lo_7805597777","Прием и вывоз металлолома СПБ и ло")</f>
        <v>Прием и вывоз металлолома СПБ и ло</v>
      </c>
      <c r="C29" t="s">
        <v>11</v>
      </c>
      <c r="D29" t="s">
        <v>79</v>
      </c>
      <c r="E29" t="s">
        <v>80</v>
      </c>
      <c r="F29" s="14" t="s">
        <v>130</v>
      </c>
      <c r="G29" s="8" t="s">
        <v>14</v>
      </c>
      <c r="H29" s="8" t="str">
        <f>HYPERLINK("https://www.avito.ru/sankt-peterburg_sestroretsk/uslugi/priem_i_vyvoz_metalloloma_spb_i_lo_7805597777","7805597777")</f>
        <v>7805597777</v>
      </c>
    </row>
    <row r="30" spans="1:8" x14ac:dyDescent="0.3">
      <c r="A30" s="9" t="s">
        <v>127</v>
      </c>
      <c r="B30" s="1" t="str">
        <f>HYPERLINK("https://www.avito.ru/sankt-peterburg_kronstadt/uslugi/sdat_staryy_akkumulyator_priem_akkumulyatorov_sdat_akb_7805669789","Сдать старый аккумулятор / приём аккумуляторов / сдать АКБ")</f>
        <v>Сдать старый аккумулятор / приём аккумуляторов / сдать АКБ</v>
      </c>
      <c r="C30" t="s">
        <v>11</v>
      </c>
      <c r="D30" t="s">
        <v>44</v>
      </c>
      <c r="E30" t="s">
        <v>45</v>
      </c>
      <c r="F30" s="14" t="s">
        <v>130</v>
      </c>
      <c r="G30" s="8" t="s">
        <v>14</v>
      </c>
      <c r="H30" s="8" t="str">
        <f>HYPERLINK("https://www.avito.ru/sankt-peterburg_kronstadt/uslugi/sdat_staryy_akkumulyator_priem_akkumulyatorov_sdat_akb_7805669789","7805669789")</f>
        <v>7805669789</v>
      </c>
    </row>
    <row r="31" spans="1:8" x14ac:dyDescent="0.3">
      <c r="A31" s="9" t="s">
        <v>127</v>
      </c>
      <c r="B31" s="1" t="str">
        <f>HYPERLINK("https://www.avito.ru/sankt-peterburg/uslugi/sdat_reztsy_vktkpriem_loma_7836999512","Сдать резцы вктк/прием лома")</f>
        <v>Сдать резцы вктк/прием лома</v>
      </c>
      <c r="D31" t="s">
        <v>11</v>
      </c>
      <c r="E31" t="s">
        <v>23</v>
      </c>
      <c r="F31" s="14" t="s">
        <v>129</v>
      </c>
      <c r="G31" s="8" t="s">
        <v>24</v>
      </c>
      <c r="H31" s="8" t="str">
        <f>HYPERLINK("https://www.avito.ru/sankt-peterburg/uslugi/sdat_reztsy_vktkpriem_loma_7836999512","7836999512")</f>
        <v>7836999512</v>
      </c>
    </row>
    <row r="32" spans="1:8" x14ac:dyDescent="0.3">
      <c r="A32" s="9" t="s">
        <v>127</v>
      </c>
      <c r="B32" s="1" t="str">
        <f>HYPERLINK("https://www.avito.ru/petrozavodsk/uslugi/priem_metalloloma_vyvoz_metalloloma_demontazh_7837705504","Прием металлолома / вывоз металлолома / демонтаж")</f>
        <v>Прием металлолома / вывоз металлолома / демонтаж</v>
      </c>
      <c r="C32" t="s">
        <v>16</v>
      </c>
      <c r="D32" t="s">
        <v>17</v>
      </c>
      <c r="E32" t="s">
        <v>18</v>
      </c>
      <c r="F32" s="14" t="s">
        <v>130</v>
      </c>
      <c r="G32" s="8" t="s">
        <v>14</v>
      </c>
      <c r="H32" s="8" t="str">
        <f>HYPERLINK("https://www.avito.ru/petrozavodsk/uslugi/priem_metalloloma_vyvoz_metalloloma_demontazh_7837705504","7837705504")</f>
        <v>7837705504</v>
      </c>
    </row>
    <row r="33" spans="1:8" x14ac:dyDescent="0.3">
      <c r="A33" s="9" t="s">
        <v>127</v>
      </c>
      <c r="B33" s="1" t="str">
        <f>HYPERLINK("https://www.avito.ru/arhangelsk/uslugi/priem_provodov._skupka_7869498610","Прием проводов. Скупка")</f>
        <v>Прием проводов. Скупка</v>
      </c>
      <c r="C33" t="s">
        <v>26</v>
      </c>
      <c r="D33" t="s">
        <v>27</v>
      </c>
      <c r="E33" t="s">
        <v>28</v>
      </c>
      <c r="F33" s="14" t="s">
        <v>130</v>
      </c>
      <c r="G33" s="8" t="s">
        <v>14</v>
      </c>
      <c r="H33" s="8" t="str">
        <f>HYPERLINK("https://www.avito.ru/arhangelsk/uslugi/priem_provodov._skupka_7869498610","7869498610")</f>
        <v>7869498610</v>
      </c>
    </row>
    <row r="34" spans="1:8" x14ac:dyDescent="0.3">
      <c r="A34" s="9" t="s">
        <v>127</v>
      </c>
      <c r="B34" s="1" t="str">
        <f>HYPERLINK("https://www.avito.ru/sankt-peterburg/uslugi/priem_i_vyvoz_metalloloma_samovyvoz_loma_7805131284","Прием и вывоз металлолома / Самовывоз лома")</f>
        <v>Прием и вывоз металлолома / Самовывоз лома</v>
      </c>
      <c r="D34" t="s">
        <v>11</v>
      </c>
      <c r="E34" t="s">
        <v>78</v>
      </c>
      <c r="F34" s="14" t="s">
        <v>130</v>
      </c>
      <c r="G34" s="8" t="s">
        <v>14</v>
      </c>
      <c r="H34" s="8" t="str">
        <f>HYPERLINK("https://www.avito.ru/sankt-peterburg/uslugi/priem_i_vyvoz_metalloloma_samovyvoz_loma_7805131284","7805131284")</f>
        <v>7805131284</v>
      </c>
    </row>
    <row r="35" spans="1:8" x14ac:dyDescent="0.3">
      <c r="A35" s="9" t="s">
        <v>127</v>
      </c>
      <c r="B35" s="1" t="str">
        <f>HYPERLINK("https://www.avito.ru/sankt-peterburg_sestroretsk/uslugi/priem_bu_akkumulyatorov_7805145257","Прием бу аккумуляторов")</f>
        <v>Прием бу аккумуляторов</v>
      </c>
      <c r="C35" t="s">
        <v>11</v>
      </c>
      <c r="D35" t="s">
        <v>79</v>
      </c>
      <c r="E35" t="s">
        <v>80</v>
      </c>
      <c r="F35" s="14" t="s">
        <v>130</v>
      </c>
      <c r="G35" s="8" t="s">
        <v>14</v>
      </c>
      <c r="H35" s="8" t="str">
        <f>HYPERLINK("https://www.avito.ru/sankt-peterburg_sestroretsk/uslugi/priem_bu_akkumulyatorov_7805145257","7805145257")</f>
        <v>7805145257</v>
      </c>
    </row>
    <row r="36" spans="1:8" x14ac:dyDescent="0.3">
      <c r="A36" s="9" t="s">
        <v>127</v>
      </c>
      <c r="B36" s="1" t="str">
        <f>HYPERLINK("https://www.avito.ru/sankt-peterburg_sestroretsk/uslugi/sdat_staryy_akkumulyator_priem_akkumulyatorov_sdat_akb_7805192096","Сдать старый аккумулятор / приём аккумуляторов / сдать АКБ")</f>
        <v>Сдать старый аккумулятор / приём аккумуляторов / сдать АКБ</v>
      </c>
      <c r="C36" t="s">
        <v>11</v>
      </c>
      <c r="D36" t="s">
        <v>79</v>
      </c>
      <c r="E36" t="s">
        <v>80</v>
      </c>
      <c r="F36" s="14" t="s">
        <v>130</v>
      </c>
      <c r="G36" s="8" t="s">
        <v>14</v>
      </c>
      <c r="H36" s="8" t="str">
        <f>HYPERLINK("https://www.avito.ru/sankt-peterburg_sestroretsk/uslugi/sdat_staryy_akkumulyator_priem_akkumulyatorov_sdat_akb_7805192096","7805192096")</f>
        <v>7805192096</v>
      </c>
    </row>
    <row r="37" spans="1:8" x14ac:dyDescent="0.3">
      <c r="A37" s="9" t="s">
        <v>127</v>
      </c>
      <c r="B37" s="1" t="str">
        <f>HYPERLINK("https://www.avito.ru/sankt-peterburg_pushkin/uslugi/sdat_metallolom_spb_i_lo_7805352536","Сдать металлолом СПБ и ло")</f>
        <v>Сдать металлолом СПБ и ло</v>
      </c>
      <c r="C37" t="s">
        <v>11</v>
      </c>
      <c r="D37" t="s">
        <v>42</v>
      </c>
      <c r="E37" t="s">
        <v>43</v>
      </c>
      <c r="F37" s="14" t="s">
        <v>130</v>
      </c>
      <c r="G37" s="8" t="s">
        <v>14</v>
      </c>
      <c r="H37" s="8" t="str">
        <f>HYPERLINK("https://www.avito.ru/sankt-peterburg_pushkin/uslugi/sdat_metallolom_spb_i_lo_7805352536","7805352536")</f>
        <v>7805352536</v>
      </c>
    </row>
    <row r="38" spans="1:8" x14ac:dyDescent="0.3">
      <c r="A38" s="9" t="s">
        <v>127</v>
      </c>
      <c r="B38" s="1" t="str">
        <f>HYPERLINK("https://www.avito.ru/sankt-peterburg/uslugi/priem_kabelya_skupka_kabelya_priem_provodov_7805484457","Прием кабеля / Скупка кабеля / Прием проводов")</f>
        <v>Прием кабеля / Скупка кабеля / Прием проводов</v>
      </c>
      <c r="D38" t="s">
        <v>11</v>
      </c>
      <c r="E38" t="s">
        <v>25</v>
      </c>
      <c r="F38" s="14" t="s">
        <v>130</v>
      </c>
      <c r="G38" s="8" t="s">
        <v>14</v>
      </c>
      <c r="H38" s="8" t="str">
        <f>HYPERLINK("https://www.avito.ru/sankt-peterburg/uslugi/priem_kabelya_skupka_kabelya_priem_provodov_7805484457","7805484457")</f>
        <v>7805484457</v>
      </c>
    </row>
    <row r="39" spans="1:8" x14ac:dyDescent="0.3">
      <c r="A39" s="9" t="s">
        <v>127</v>
      </c>
      <c r="B39" s="1" t="str">
        <f>HYPERLINK("https://www.avito.ru/sankt-peterburg_pushkin/uslugi/vyvoz_metalloloma_nerzhaveyka_bu_7805665299","Вывоз металлолома / нержавейка бу")</f>
        <v>Вывоз металлолома / нержавейка бу</v>
      </c>
      <c r="C39" t="s">
        <v>11</v>
      </c>
      <c r="D39" t="s">
        <v>42</v>
      </c>
      <c r="E39" t="s">
        <v>43</v>
      </c>
      <c r="F39" s="14" t="s">
        <v>130</v>
      </c>
      <c r="G39" s="8" t="s">
        <v>14</v>
      </c>
      <c r="H39" s="8" t="str">
        <f>HYPERLINK("https://www.avito.ru/sankt-peterburg_pushkin/uslugi/vyvoz_metalloloma_nerzhaveyka_bu_7805665299","7805665299")</f>
        <v>7805665299</v>
      </c>
    </row>
    <row r="40" spans="1:8" x14ac:dyDescent="0.3">
      <c r="A40" s="9" t="s">
        <v>127</v>
      </c>
      <c r="B40" s="1" t="str">
        <f>HYPERLINK("https://www.avito.ru/sankt-peterburg/uslugi/priem_plat_i_elektronnogo_loma._skupka_plat_7805679386","Прием плат и электронного лома. Скупка плат")</f>
        <v>Прием плат и электронного лома. Скупка плат</v>
      </c>
      <c r="D40" t="s">
        <v>11</v>
      </c>
      <c r="E40" t="s">
        <v>19</v>
      </c>
      <c r="F40" s="14" t="s">
        <v>130</v>
      </c>
      <c r="G40" s="8" t="s">
        <v>14</v>
      </c>
      <c r="H40" s="8" t="str">
        <f>HYPERLINK("https://www.avito.ru/sankt-peterburg/uslugi/priem_plat_i_elektronnogo_loma._skupka_plat_7805679386","7805679386")</f>
        <v>7805679386</v>
      </c>
    </row>
    <row r="41" spans="1:8" x14ac:dyDescent="0.3">
      <c r="A41" s="9" t="s">
        <v>127</v>
      </c>
      <c r="B41" s="1" t="str">
        <f>HYPERLINK("https://www.avito.ru/sankt-peterburg/uslugi/priem_tsvetnogo_metalloloma_7805849015","Прием цветного металлолома")</f>
        <v>Прием цветного металлолома</v>
      </c>
      <c r="D41" t="s">
        <v>11</v>
      </c>
      <c r="E41" t="s">
        <v>106</v>
      </c>
      <c r="F41" s="14" t="s">
        <v>130</v>
      </c>
      <c r="G41" s="8" t="s">
        <v>14</v>
      </c>
      <c r="H41" s="8" t="str">
        <f>HYPERLINK("https://www.avito.ru/sankt-peterburg/uslugi/priem_tsvetnogo_metalloloma_7805849015","7805849015")</f>
        <v>7805849015</v>
      </c>
    </row>
    <row r="42" spans="1:8" x14ac:dyDescent="0.3">
      <c r="A42" s="9" t="s">
        <v>127</v>
      </c>
      <c r="B42" s="1" t="str">
        <f>HYPERLINK("https://www.avito.ru/sankt-peterburg/uslugi/skupka_volframa_provolokasdat_volfram_7836991577","Скупка Вольфрама проволока/сдать вольфрам")</f>
        <v>Скупка Вольфрама проволока/сдать вольфрам</v>
      </c>
      <c r="D42" t="s">
        <v>11</v>
      </c>
      <c r="E42" t="s">
        <v>62</v>
      </c>
      <c r="F42" s="14" t="s">
        <v>129</v>
      </c>
      <c r="G42" s="8" t="s">
        <v>24</v>
      </c>
      <c r="H42" s="8" t="str">
        <f>HYPERLINK("https://www.avito.ru/sankt-peterburg/uslugi/skupka_volframa_provolokasdat_volfram_7836991577","7836991577")</f>
        <v>7836991577</v>
      </c>
    </row>
    <row r="43" spans="1:8" x14ac:dyDescent="0.3">
      <c r="A43" s="9" t="s">
        <v>127</v>
      </c>
      <c r="B43" s="1" t="str">
        <f>HYPERLINK("https://www.avito.ru/cherepovets/uslugi/priem_metalloloma_vyvoz_metalloloma_demontazh_7837205601","Прием металлолома / вывоз металлолома / демонтаж")</f>
        <v>Прием металлолома / вывоз металлолома / демонтаж</v>
      </c>
      <c r="C43" t="s">
        <v>39</v>
      </c>
      <c r="D43" t="s">
        <v>46</v>
      </c>
      <c r="E43" t="s">
        <v>47</v>
      </c>
      <c r="F43" s="14" t="s">
        <v>130</v>
      </c>
      <c r="G43" s="8" t="s">
        <v>14</v>
      </c>
      <c r="H43" s="8" t="str">
        <f>HYPERLINK("https://www.avito.ru/cherepovets/uslugi/priem_metalloloma_vyvoz_metalloloma_demontazh_7837205601","7837205601")</f>
        <v>7837205601</v>
      </c>
    </row>
    <row r="44" spans="1:8" x14ac:dyDescent="0.3">
      <c r="A44" s="9" t="s">
        <v>127</v>
      </c>
      <c r="B44" s="1" t="str">
        <f>HYPERLINK("https://www.avito.ru/velikiy_novgorod/uslugi/priem_metalloloma_vyvoz_metalloloma_demontazh_7837296315","Прием металлолома / вывоз металлолома / демонтаж")</f>
        <v>Прием металлолома / вывоз металлолома / демонтаж</v>
      </c>
      <c r="C44" t="s">
        <v>29</v>
      </c>
      <c r="D44" t="s">
        <v>30</v>
      </c>
      <c r="E44" t="s">
        <v>31</v>
      </c>
      <c r="F44" s="14" t="s">
        <v>130</v>
      </c>
      <c r="G44" s="8" t="s">
        <v>14</v>
      </c>
      <c r="H44" s="8" t="str">
        <f>HYPERLINK("https://www.avito.ru/velikiy_novgorod/uslugi/priem_metalloloma_vyvoz_metalloloma_demontazh_7837296315","7837296315")</f>
        <v>7837296315</v>
      </c>
    </row>
    <row r="45" spans="1:8" x14ac:dyDescent="0.3">
      <c r="A45" s="9" t="s">
        <v>127</v>
      </c>
      <c r="B45" s="1" t="str">
        <f>HYPERLINK("https://www.avito.ru/arhangelsk/uslugi/vyvoz_metalloloma_skupka_medi_sdat_med_7837492863","Вывоз металлолома, скупка меди, сдать медь")</f>
        <v>Вывоз металлолома, скупка меди, сдать медь</v>
      </c>
      <c r="C45" t="s">
        <v>26</v>
      </c>
      <c r="D45" t="s">
        <v>27</v>
      </c>
      <c r="E45" t="s">
        <v>28</v>
      </c>
      <c r="F45" s="14" t="s">
        <v>130</v>
      </c>
      <c r="G45" s="8" t="s">
        <v>14</v>
      </c>
      <c r="H45" s="8" t="str">
        <f>HYPERLINK("https://www.avito.ru/arhangelsk/uslugi/vyvoz_metalloloma_skupka_medi_sdat_med_7837492863","7837492863")</f>
        <v>7837492863</v>
      </c>
    </row>
    <row r="46" spans="1:8" x14ac:dyDescent="0.3">
      <c r="A46" s="9" t="s">
        <v>127</v>
      </c>
      <c r="B46" s="1" t="str">
        <f>HYPERLINK("https://www.avito.ru/petrozavodsk/uslugi/vyvoz_metalloloma_skupka_medi_sdat_med_7837525486","Вывоз металлолома, скупка меди, сдать медь")</f>
        <v>Вывоз металлолома, скупка меди, сдать медь</v>
      </c>
      <c r="C46" t="s">
        <v>16</v>
      </c>
      <c r="D46" t="s">
        <v>17</v>
      </c>
      <c r="E46" t="s">
        <v>18</v>
      </c>
      <c r="F46" s="14" t="s">
        <v>130</v>
      </c>
      <c r="G46" s="8" t="s">
        <v>14</v>
      </c>
      <c r="H46" s="8" t="str">
        <f>HYPERLINK("https://www.avito.ru/petrozavodsk/uslugi/vyvoz_metalloloma_skupka_medi_sdat_med_7837525486","7837525486")</f>
        <v>7837525486</v>
      </c>
    </row>
    <row r="47" spans="1:8" x14ac:dyDescent="0.3">
      <c r="A47" s="9" t="s">
        <v>127</v>
      </c>
      <c r="B47" s="1" t="str">
        <f>HYPERLINK("https://www.avito.ru/petrozavodsk/uslugi/vyvoz_metalloloma_nerzhaveyka_bu_7837580977","Вывоз металлолома / нержавейка бу")</f>
        <v>Вывоз металлолома / нержавейка бу</v>
      </c>
      <c r="C47" t="s">
        <v>16</v>
      </c>
      <c r="D47" t="s">
        <v>17</v>
      </c>
      <c r="E47" t="s">
        <v>18</v>
      </c>
      <c r="F47" s="14" t="s">
        <v>130</v>
      </c>
      <c r="G47" s="8" t="s">
        <v>14</v>
      </c>
      <c r="H47" s="8" t="str">
        <f>HYPERLINK("https://www.avito.ru/petrozavodsk/uslugi/vyvoz_metalloloma_nerzhaveyka_bu_7837580977","7837580977")</f>
        <v>7837580977</v>
      </c>
    </row>
    <row r="48" spans="1:8" x14ac:dyDescent="0.3">
      <c r="A48" s="9" t="s">
        <v>127</v>
      </c>
      <c r="B48" s="1" t="str">
        <f>HYPERLINK("https://www.avito.ru/velikiy_novgorod/uslugi/vyvoz_metalloloma_nerzhaveyka_bu_7837617420","Вывоз металлолома / нержавейка бу")</f>
        <v>Вывоз металлолома / нержавейка бу</v>
      </c>
      <c r="C48" t="s">
        <v>29</v>
      </c>
      <c r="D48" t="s">
        <v>30</v>
      </c>
      <c r="E48" t="s">
        <v>31</v>
      </c>
      <c r="F48" s="14" t="s">
        <v>130</v>
      </c>
      <c r="G48" s="8" t="s">
        <v>14</v>
      </c>
      <c r="H48" s="8" t="str">
        <f>HYPERLINK("https://www.avito.ru/velikiy_novgorod/uslugi/vyvoz_metalloloma_nerzhaveyka_bu_7837617420","7837617420")</f>
        <v>7837617420</v>
      </c>
    </row>
    <row r="49" spans="1:8" x14ac:dyDescent="0.3">
      <c r="A49" s="9" t="s">
        <v>127</v>
      </c>
      <c r="B49" s="1" t="str">
        <f>HYPERLINK("https://www.avito.ru/pskov/uslugi/priem_tsvetnogo_metalloloma_7868957773","Прием цветного металлолома")</f>
        <v>Прием цветного металлолома</v>
      </c>
      <c r="C49" t="s">
        <v>36</v>
      </c>
      <c r="D49" t="s">
        <v>37</v>
      </c>
      <c r="E49" t="s">
        <v>38</v>
      </c>
      <c r="F49" s="14" t="s">
        <v>130</v>
      </c>
      <c r="G49" s="8" t="s">
        <v>14</v>
      </c>
      <c r="H49" s="8" t="str">
        <f>HYPERLINK("https://www.avito.ru/pskov/uslugi/priem_tsvetnogo_metalloloma_7868957773","7868957773")</f>
        <v>7868957773</v>
      </c>
    </row>
    <row r="50" spans="1:8" x14ac:dyDescent="0.3">
      <c r="A50" s="9" t="s">
        <v>127</v>
      </c>
      <c r="B50" s="1" t="str">
        <f>HYPERLINK("https://www.avito.ru/pskov/uslugi/priem_plat_i_elektronnogo_loma._skupka_plat_7869146241","Прием плат и электронного лома. Скупка плат")</f>
        <v>Прием плат и электронного лома. Скупка плат</v>
      </c>
      <c r="C50" t="s">
        <v>36</v>
      </c>
      <c r="D50" t="s">
        <v>37</v>
      </c>
      <c r="E50" t="s">
        <v>38</v>
      </c>
      <c r="F50" s="14" t="s">
        <v>130</v>
      </c>
      <c r="G50" s="8" t="s">
        <v>14</v>
      </c>
      <c r="H50" s="8" t="str">
        <f>HYPERLINK("https://www.avito.ru/pskov/uslugi/priem_plat_i_elektronnogo_loma._skupka_plat_7869146241","7869146241")</f>
        <v>7869146241</v>
      </c>
    </row>
    <row r="51" spans="1:8" x14ac:dyDescent="0.3">
      <c r="A51" s="9" t="s">
        <v>127</v>
      </c>
      <c r="B51" s="1" t="str">
        <f>HYPERLINK("https://www.avito.ru/arhangelsk/uslugi/priem_tsvetnogo_metalloloma_7869230512","Прием цветного металлолома")</f>
        <v>Прием цветного металлолома</v>
      </c>
      <c r="C51" t="s">
        <v>26</v>
      </c>
      <c r="D51" t="s">
        <v>27</v>
      </c>
      <c r="E51" t="s">
        <v>28</v>
      </c>
      <c r="F51" s="14" t="s">
        <v>130</v>
      </c>
      <c r="G51" s="8" t="s">
        <v>14</v>
      </c>
      <c r="H51" s="8" t="str">
        <f>HYPERLINK("https://www.avito.ru/arhangelsk/uslugi/priem_tsvetnogo_metalloloma_7869230512","7869230512")</f>
        <v>7869230512</v>
      </c>
    </row>
    <row r="52" spans="1:8" x14ac:dyDescent="0.3">
      <c r="A52" s="9" t="s">
        <v>127</v>
      </c>
      <c r="B52" s="1" t="str">
        <f>HYPERLINK("https://www.avito.ru/sankt-peterburg/uslugi/priem_metalloloma_vyvoz_metalloloma_demontazh_7869423789","Прием металлолома / вывоз металлолома / демонтаж")</f>
        <v>Прием металлолома / вывоз металлолома / демонтаж</v>
      </c>
      <c r="D52" t="s">
        <v>11</v>
      </c>
      <c r="E52" t="s">
        <v>115</v>
      </c>
      <c r="F52" s="14" t="s">
        <v>130</v>
      </c>
      <c r="G52" s="8" t="s">
        <v>14</v>
      </c>
      <c r="H52" s="8" t="str">
        <f>HYPERLINK("https://www.avito.ru/sankt-peterburg/uslugi/priem_metalloloma_vyvoz_metalloloma_demontazh_7869423789","7869423789")</f>
        <v>7869423789</v>
      </c>
    </row>
    <row r="53" spans="1:8" x14ac:dyDescent="0.3">
      <c r="A53" s="9" t="s">
        <v>127</v>
      </c>
      <c r="B53" s="1" t="str">
        <f>HYPERLINK("https://www.avito.ru/cherepovets/uslugi/priem_plat_i_elektronnogo_loma._skupka_plat_7869429952","Прием плат и электронного лома. Скупка плат")</f>
        <v>Прием плат и электронного лома. Скупка плат</v>
      </c>
      <c r="C53" t="s">
        <v>39</v>
      </c>
      <c r="D53" t="s">
        <v>46</v>
      </c>
      <c r="E53" t="s">
        <v>47</v>
      </c>
      <c r="F53" s="14" t="s">
        <v>130</v>
      </c>
      <c r="G53" s="8" t="s">
        <v>14</v>
      </c>
      <c r="H53" s="8" t="str">
        <f>HYPERLINK("https://www.avito.ru/cherepovets/uslugi/priem_plat_i_elektronnogo_loma._skupka_plat_7869429952","7869429952")</f>
        <v>7869429952</v>
      </c>
    </row>
    <row r="54" spans="1:8" x14ac:dyDescent="0.3">
      <c r="A54" s="9" t="s">
        <v>127</v>
      </c>
      <c r="B54" s="1" t="str">
        <f>HYPERLINK("https://www.avito.ru/vologda/uslugi/priem_plat_i_elektronnogo_loma._skupka_plat_7869904242","Прием плат и электронного лома. Скупка плат")</f>
        <v>Прием плат и электронного лома. Скупка плат</v>
      </c>
      <c r="C54" t="s">
        <v>39</v>
      </c>
      <c r="D54" t="s">
        <v>40</v>
      </c>
      <c r="E54" t="s">
        <v>41</v>
      </c>
      <c r="F54" s="14" t="s">
        <v>130</v>
      </c>
      <c r="G54" s="8" t="s">
        <v>14</v>
      </c>
      <c r="H54" s="8" t="str">
        <f>HYPERLINK("https://www.avito.ru/vologda/uslugi/priem_plat_i_elektronnogo_loma._skupka_plat_7869904242","7869904242")</f>
        <v>7869904242</v>
      </c>
    </row>
    <row r="55" spans="1:8" x14ac:dyDescent="0.3">
      <c r="A55" s="9" t="s">
        <v>127</v>
      </c>
      <c r="B55" s="1" t="str">
        <f>HYPERLINK("https://www.avito.ru/sankt-peterburg/uslugi/demontazh_i_snos_zdaniy_sooruzheniy_7901344856","Демонтаж и снос зданий сооружений")</f>
        <v>Демонтаж и снос зданий сооружений</v>
      </c>
      <c r="D55" t="s">
        <v>11</v>
      </c>
      <c r="E55" t="s">
        <v>11</v>
      </c>
      <c r="F55" s="14" t="s">
        <v>130</v>
      </c>
      <c r="G55" s="8" t="s">
        <v>14</v>
      </c>
      <c r="H55" s="8" t="str">
        <f>HYPERLINK("https://www.avito.ru/sankt-peterburg/uslugi/demontazh_i_snos_zdaniy_sooruzheniy_7901344856","7901344856")</f>
        <v>7901344856</v>
      </c>
    </row>
    <row r="56" spans="1:8" x14ac:dyDescent="0.3">
      <c r="A56" s="9" t="s">
        <v>127</v>
      </c>
      <c r="B56" s="1" t="str">
        <f>HYPERLINK("https://www.avito.ru/volosovo/uslugi/priem_metalloloma_vyvoz_metalloloma_demontazh_7901915394","Прием металлолома / вывоз металлолома / демонтаж")</f>
        <v>Прием металлолома / вывоз металлолома / демонтаж</v>
      </c>
      <c r="C56" t="s">
        <v>52</v>
      </c>
      <c r="D56" t="s">
        <v>117</v>
      </c>
      <c r="E56" t="s">
        <v>117</v>
      </c>
      <c r="F56" s="14" t="s">
        <v>130</v>
      </c>
      <c r="G56" s="8" t="s">
        <v>14</v>
      </c>
      <c r="H56" s="8" t="str">
        <f>HYPERLINK("https://www.avito.ru/volosovo/uslugi/priem_metalloloma_vyvoz_metalloloma_demontazh_7901915394","7901915394")</f>
        <v>7901915394</v>
      </c>
    </row>
    <row r="57" spans="1:8" x14ac:dyDescent="0.3">
      <c r="A57" s="9" t="s">
        <v>127</v>
      </c>
      <c r="B57" s="1" t="str">
        <f>HYPERLINK("https://www.avito.ru/vologda/uslugi/sdat_metallolom_7804957314","Сдать металлолом")</f>
        <v>Сдать металлолом</v>
      </c>
      <c r="C57" t="s">
        <v>39</v>
      </c>
      <c r="D57" t="s">
        <v>40</v>
      </c>
      <c r="E57" t="s">
        <v>41</v>
      </c>
      <c r="F57" s="14" t="s">
        <v>130</v>
      </c>
      <c r="G57" s="8" t="s">
        <v>14</v>
      </c>
      <c r="H57" s="8" t="str">
        <f>HYPERLINK("https://www.avito.ru/vologda/uslugi/sdat_metallolom_7804957314","7804957314")</f>
        <v>7804957314</v>
      </c>
    </row>
    <row r="58" spans="1:8" x14ac:dyDescent="0.3">
      <c r="A58" s="9" t="s">
        <v>127</v>
      </c>
      <c r="B58" s="1" t="str">
        <f>HYPERLINK("https://www.avito.ru/cherepovets/uslugi/priem_i_vyvoz_metalloloma_7804963380","Прием и вывоз металлолома")</f>
        <v>Прием и вывоз металлолома</v>
      </c>
      <c r="C58" t="s">
        <v>39</v>
      </c>
      <c r="D58" t="s">
        <v>46</v>
      </c>
      <c r="E58" t="s">
        <v>47</v>
      </c>
      <c r="F58" s="14" t="s">
        <v>130</v>
      </c>
      <c r="G58" s="8" t="s">
        <v>14</v>
      </c>
      <c r="H58" s="8" t="str">
        <f>HYPERLINK("https://www.avito.ru/cherepovets/uslugi/priem_i_vyvoz_metalloloma_7804963380","7804963380")</f>
        <v>7804963380</v>
      </c>
    </row>
    <row r="59" spans="1:8" x14ac:dyDescent="0.3">
      <c r="A59" s="9" t="s">
        <v>127</v>
      </c>
      <c r="B59" s="1" t="str">
        <f>HYPERLINK("https://www.avito.ru/svetogorsk/uslugi/skupka_i_vyvoz_metalloloma_v_spb_i_lo_s_demontazhem_7804972636","Скупка и вывоз металлолома в СПб и ло с демонтажем")</f>
        <v>Скупка и вывоз металлолома в СПб и ло с демонтажем</v>
      </c>
      <c r="C59" t="s">
        <v>52</v>
      </c>
      <c r="D59" t="s">
        <v>53</v>
      </c>
      <c r="E59" t="s">
        <v>53</v>
      </c>
      <c r="F59" s="14" t="s">
        <v>130</v>
      </c>
      <c r="G59" s="8" t="s">
        <v>14</v>
      </c>
      <c r="H59" s="8" t="str">
        <f>HYPERLINK("https://www.avito.ru/svetogorsk/uslugi/skupka_i_vyvoz_metalloloma_v_spb_i_lo_s_demontazhem_7804972636","7804972636")</f>
        <v>7804972636</v>
      </c>
    </row>
    <row r="60" spans="1:8" x14ac:dyDescent="0.3">
      <c r="A60" s="9" t="s">
        <v>127</v>
      </c>
      <c r="B60" s="1" t="str">
        <f>HYPERLINK("https://www.avito.ru/syasstroy/uslugi/priem_metalloloma_vyvoz_metalloloma_demontazh_7804993312","Прием металлолома / вывоз металлолома / демонтаж")</f>
        <v>Прием металлолома / вывоз металлолома / демонтаж</v>
      </c>
      <c r="C60" t="s">
        <v>52</v>
      </c>
      <c r="D60" t="s">
        <v>65</v>
      </c>
      <c r="E60" t="s">
        <v>66</v>
      </c>
      <c r="F60" s="14" t="s">
        <v>130</v>
      </c>
      <c r="G60" s="8" t="s">
        <v>14</v>
      </c>
      <c r="H60" s="8" t="str">
        <f>HYPERLINK("https://www.avito.ru/syasstroy/uslugi/priem_metalloloma_vyvoz_metalloloma_demontazh_7804993312","7804993312")</f>
        <v>7804993312</v>
      </c>
    </row>
    <row r="61" spans="1:8" x14ac:dyDescent="0.3">
      <c r="A61" s="9" t="s">
        <v>127</v>
      </c>
      <c r="B61" s="1" t="str">
        <f>HYPERLINK("https://www.avito.ru/lodeynoe_pole/uslugi/skupka_i_vyvoz_metalloloma_v_spb_i_lo_s_demontazhem_7805034704","Скупка и вывоз металлолома в СПб и ло с демонтажем")</f>
        <v>Скупка и вывоз металлолома в СПб и ло с демонтажем</v>
      </c>
      <c r="C61" t="s">
        <v>52</v>
      </c>
      <c r="D61" t="s">
        <v>67</v>
      </c>
      <c r="E61" t="s">
        <v>67</v>
      </c>
      <c r="F61" s="14" t="s">
        <v>130</v>
      </c>
      <c r="G61" s="8" t="s">
        <v>14</v>
      </c>
      <c r="H61" s="8" t="str">
        <f>HYPERLINK("https://www.avito.ru/lodeynoe_pole/uslugi/skupka_i_vyvoz_metalloloma_v_spb_i_lo_s_demontazhem_7805034704","7805034704")</f>
        <v>7805034704</v>
      </c>
    </row>
    <row r="62" spans="1:8" x14ac:dyDescent="0.3">
      <c r="A62" s="9" t="s">
        <v>127</v>
      </c>
      <c r="B62" s="1" t="str">
        <f>HYPERLINK("https://www.avito.ru/sankt-peterburg/uslugi/skupka_radiodetaley_plat_priborov_7805035612","Скупка радиодеталей / плат / приборов")</f>
        <v>Скупка радиодеталей / плат / приборов</v>
      </c>
      <c r="D62" t="s">
        <v>11</v>
      </c>
      <c r="E62" t="s">
        <v>68</v>
      </c>
      <c r="F62" s="14" t="s">
        <v>130</v>
      </c>
      <c r="G62" s="8" t="s">
        <v>14</v>
      </c>
      <c r="H62" s="8" t="str">
        <f>HYPERLINK("https://www.avito.ru/sankt-peterburg/uslugi/skupka_radiodetaley_plat_priborov_7805035612","7805035612")</f>
        <v>7805035612</v>
      </c>
    </row>
    <row r="63" spans="1:8" x14ac:dyDescent="0.3">
      <c r="A63" s="9" t="s">
        <v>127</v>
      </c>
      <c r="B63" s="1" t="str">
        <f>HYPERLINK("https://www.avito.ru/vyborg/uslugi/sdat_metallolom_spb_i_lo_7805045884","Сдать металлолом СПБ и ло")</f>
        <v>Сдать металлолом СПБ и ло</v>
      </c>
      <c r="C63" t="s">
        <v>52</v>
      </c>
      <c r="D63" t="s">
        <v>54</v>
      </c>
      <c r="E63" t="s">
        <v>55</v>
      </c>
      <c r="F63" s="14" t="s">
        <v>130</v>
      </c>
      <c r="G63" s="8" t="s">
        <v>14</v>
      </c>
      <c r="H63" s="8" t="str">
        <f>HYPERLINK("https://www.avito.ru/vyborg/uslugi/sdat_metallolom_spb_i_lo_7805045884","7805045884")</f>
        <v>7805045884</v>
      </c>
    </row>
    <row r="64" spans="1:8" x14ac:dyDescent="0.3">
      <c r="A64" s="9" t="s">
        <v>127</v>
      </c>
      <c r="B64" s="1" t="str">
        <f>HYPERLINK("https://www.avito.ru/kingisepp/uslugi/sdat_metallolom_spb_i_lo_7805075141","Сдать металлолом СПБ и ло")</f>
        <v>Сдать металлолом СПБ и ло</v>
      </c>
      <c r="C64" t="s">
        <v>52</v>
      </c>
      <c r="D64" t="s">
        <v>69</v>
      </c>
      <c r="E64" t="s">
        <v>69</v>
      </c>
      <c r="F64" s="14" t="s">
        <v>130</v>
      </c>
      <c r="G64" s="8" t="s">
        <v>14</v>
      </c>
      <c r="H64" s="8" t="str">
        <f>HYPERLINK("https://www.avito.ru/kingisepp/uslugi/sdat_metallolom_spb_i_lo_7805075141","7805075141")</f>
        <v>7805075141</v>
      </c>
    </row>
    <row r="65" spans="1:8" x14ac:dyDescent="0.3">
      <c r="A65" s="9" t="s">
        <v>127</v>
      </c>
      <c r="B65" s="1" t="str">
        <f>HYPERLINK("https://www.avito.ru/slantsy/uslugi/priem_i_vyvoz_metalloloma_samovyvoz_loma_7805085758","Прием и вывоз металлолома / Самовывоз лома")</f>
        <v>Прием и вывоз металлолома / Самовывоз лома</v>
      </c>
      <c r="C65" t="s">
        <v>52</v>
      </c>
      <c r="D65" t="s">
        <v>70</v>
      </c>
      <c r="E65" t="s">
        <v>71</v>
      </c>
      <c r="F65" s="14" t="s">
        <v>130</v>
      </c>
      <c r="G65" s="8" t="s">
        <v>14</v>
      </c>
      <c r="H65" s="8" t="str">
        <f>HYPERLINK("https://www.avito.ru/slantsy/uslugi/priem_i_vyvoz_metalloloma_samovyvoz_loma_7805085758","7805085758")</f>
        <v>7805085758</v>
      </c>
    </row>
    <row r="66" spans="1:8" x14ac:dyDescent="0.3">
      <c r="A66" s="9" t="s">
        <v>127</v>
      </c>
      <c r="B66" s="1" t="str">
        <f>HYPERLINK("https://www.avito.ru/sankt-peterburg_zelenogorsk/uslugi/skupka_i_vyvoz_metalloloma_v_spb_i_lo_s_demontazhem_7805102664","Скупка и вывоз металлолома в СПб и ло с демонтажем")</f>
        <v>Скупка и вывоз металлолома в СПб и ло с демонтажем</v>
      </c>
      <c r="C66" t="s">
        <v>11</v>
      </c>
      <c r="D66" t="s">
        <v>72</v>
      </c>
      <c r="E66" t="s">
        <v>73</v>
      </c>
      <c r="F66" s="14" t="s">
        <v>130</v>
      </c>
      <c r="G66" s="8" t="s">
        <v>14</v>
      </c>
      <c r="H66" s="8" t="str">
        <f>HYPERLINK("https://www.avito.ru/sankt-peterburg_zelenogorsk/uslugi/skupka_i_vyvoz_metalloloma_v_spb_i_lo_s_demontazhem_7805102664","7805102664")</f>
        <v>7805102664</v>
      </c>
    </row>
    <row r="67" spans="1:8" x14ac:dyDescent="0.3">
      <c r="A67" s="9" t="s">
        <v>127</v>
      </c>
      <c r="B67" s="1" t="str">
        <f>HYPERLINK("https://www.avito.ru/tajtsy/uslugi/skupka_i_vyvoz_metalloloma_v_spb_i_lo_s_demontazhem_7805103130","Скупка и вывоз металлолома в СПб и ло с демонтажем")</f>
        <v>Скупка и вывоз металлолома в СПб и ло с демонтажем</v>
      </c>
      <c r="C67" t="s">
        <v>52</v>
      </c>
      <c r="D67" t="s">
        <v>74</v>
      </c>
      <c r="E67" t="s">
        <v>75</v>
      </c>
      <c r="F67" s="14" t="s">
        <v>130</v>
      </c>
      <c r="G67" s="8" t="s">
        <v>14</v>
      </c>
      <c r="H67" s="8" t="str">
        <f>HYPERLINK("https://www.avito.ru/tajtsy/uslugi/skupka_i_vyvoz_metalloloma_v_spb_i_lo_s_demontazhem_7805103130","7805103130")</f>
        <v>7805103130</v>
      </c>
    </row>
    <row r="68" spans="1:8" x14ac:dyDescent="0.3">
      <c r="A68" s="9" t="s">
        <v>127</v>
      </c>
      <c r="B68" s="1" t="str">
        <f>HYPERLINK("https://www.avito.ru/leningradskaya_oblast_kommunar/uslugi/skupka_i_vyvoz_metalloloma_v_spb_i_lo_s_demontazhem_7805106077","Скупка и вывоз металлолома в СПб и ло с демонтажем")</f>
        <v>Скупка и вывоз металлолома в СПб и ло с демонтажем</v>
      </c>
      <c r="C68" t="s">
        <v>52</v>
      </c>
      <c r="D68" t="s">
        <v>76</v>
      </c>
      <c r="E68" t="s">
        <v>77</v>
      </c>
      <c r="F68" s="14" t="s">
        <v>130</v>
      </c>
      <c r="G68" s="8" t="s">
        <v>14</v>
      </c>
      <c r="H68" s="8" t="str">
        <f>HYPERLINK("https://www.avito.ru/leningradskaya_oblast_kommunar/uslugi/skupka_i_vyvoz_metalloloma_v_spb_i_lo_s_demontazhem_7805106077","7805106077")</f>
        <v>7805106077</v>
      </c>
    </row>
    <row r="69" spans="1:8" x14ac:dyDescent="0.3">
      <c r="A69" s="9" t="s">
        <v>127</v>
      </c>
      <c r="B69" s="1" t="str">
        <f>HYPERLINK("https://www.avito.ru/sankt-peterburg_zelenogorsk/uslugi/priem_provodov._skupka_7805175433","Прием проводов. Скупка")</f>
        <v>Прием проводов. Скупка</v>
      </c>
      <c r="C69" t="s">
        <v>11</v>
      </c>
      <c r="D69" t="s">
        <v>72</v>
      </c>
      <c r="E69" t="s">
        <v>73</v>
      </c>
      <c r="F69" s="14" t="s">
        <v>130</v>
      </c>
      <c r="G69" s="8" t="s">
        <v>14</v>
      </c>
      <c r="H69" s="8" t="str">
        <f>HYPERLINK("https://www.avito.ru/sankt-peterburg_zelenogorsk/uslugi/priem_provodov._skupka_7805175433","7805175433")</f>
        <v>7805175433</v>
      </c>
    </row>
    <row r="70" spans="1:8" x14ac:dyDescent="0.3">
      <c r="A70" s="9" t="s">
        <v>127</v>
      </c>
      <c r="B70" s="1" t="str">
        <f>HYPERLINK("https://www.avito.ru/sankt-peterburg_pushkin/uslugi/priem_kabelya_provodov_7805201675","Прием кабеля, проводов")</f>
        <v>Прием кабеля, проводов</v>
      </c>
      <c r="C70" t="s">
        <v>11</v>
      </c>
      <c r="D70" t="s">
        <v>42</v>
      </c>
      <c r="E70" t="s">
        <v>43</v>
      </c>
      <c r="F70" s="14" t="s">
        <v>130</v>
      </c>
      <c r="G70" s="8" t="s">
        <v>14</v>
      </c>
      <c r="H70" s="8" t="str">
        <f>HYPERLINK("https://www.avito.ru/sankt-peterburg_pushkin/uslugi/priem_kabelya_provodov_7805201675","7805201675")</f>
        <v>7805201675</v>
      </c>
    </row>
    <row r="71" spans="1:8" x14ac:dyDescent="0.3">
      <c r="A71" s="9" t="s">
        <v>127</v>
      </c>
      <c r="B71" s="1" t="str">
        <f>HYPERLINK("https://www.avito.ru/kommynary/uslugi/sdat_metallolom_spb_i_lo_7805206135","Сдать металлолом СПБ и ло")</f>
        <v>Сдать металлолом СПБ и ло</v>
      </c>
      <c r="C71" t="s">
        <v>52</v>
      </c>
      <c r="D71" t="s">
        <v>81</v>
      </c>
      <c r="E71" t="s">
        <v>82</v>
      </c>
      <c r="F71" s="14" t="s">
        <v>130</v>
      </c>
      <c r="G71" s="8" t="s">
        <v>14</v>
      </c>
      <c r="H71" s="8" t="str">
        <f>HYPERLINK("https://www.avito.ru/kommynary/uslugi/sdat_metallolom_spb_i_lo_7805206135","7805206135")</f>
        <v>7805206135</v>
      </c>
    </row>
    <row r="72" spans="1:8" x14ac:dyDescent="0.3">
      <c r="A72" s="9" t="s">
        <v>127</v>
      </c>
      <c r="B72" s="1" t="str">
        <f>HYPERLINK("https://www.avito.ru/leningradskaya_oblast_lebyazhe/uslugi/priem_metalloloma_vyvoz_metalloloma_demontazh_7805241115","Прием металлолома / вывоз металлолома / демонтаж")</f>
        <v>Прием металлолома / вывоз металлолома / демонтаж</v>
      </c>
      <c r="C72" t="s">
        <v>52</v>
      </c>
      <c r="D72" t="s">
        <v>83</v>
      </c>
      <c r="E72" t="s">
        <v>84</v>
      </c>
      <c r="F72" s="14" t="s">
        <v>130</v>
      </c>
      <c r="G72" s="8" t="s">
        <v>14</v>
      </c>
      <c r="H72" s="8" t="str">
        <f>HYPERLINK("https://www.avito.ru/leningradskaya_oblast_lebyazhe/uslugi/priem_metalloloma_vyvoz_metalloloma_demontazh_7805241115","7805241115")</f>
        <v>7805241115</v>
      </c>
    </row>
    <row r="73" spans="1:8" x14ac:dyDescent="0.3">
      <c r="A73" s="9" t="s">
        <v>127</v>
      </c>
      <c r="B73" s="1" t="str">
        <f>HYPERLINK("https://www.avito.ru/sankt-peterburg/uslugi/priem_metalloloma._nerzhaveyka_bu_7805260301","Прием металлолома. Нержавейка бу")</f>
        <v>Прием металлолома. Нержавейка бу</v>
      </c>
      <c r="D73" t="s">
        <v>11</v>
      </c>
      <c r="E73" t="s">
        <v>85</v>
      </c>
      <c r="F73" s="14" t="s">
        <v>130</v>
      </c>
      <c r="G73" s="8" t="s">
        <v>14</v>
      </c>
      <c r="H73" s="8" t="str">
        <f>HYPERLINK("https://www.avito.ru/sankt-peterburg/uslugi/priem_metalloloma._nerzhaveyka_bu_7805260301","7805260301")</f>
        <v>7805260301</v>
      </c>
    </row>
    <row r="74" spans="1:8" x14ac:dyDescent="0.3">
      <c r="A74" s="9" t="s">
        <v>127</v>
      </c>
      <c r="B74" s="1" t="str">
        <f>HYPERLINK("https://www.avito.ru/yanino-1/uslugi/priem_metalloloma_vyvoz_metalloloma_demontazh_7805268521","Прием металлолома / вывоз металлолома / демонтаж")</f>
        <v>Прием металлолома / вывоз металлолома / демонтаж</v>
      </c>
      <c r="C74" t="s">
        <v>52</v>
      </c>
      <c r="D74" t="s">
        <v>86</v>
      </c>
      <c r="E74" t="s">
        <v>87</v>
      </c>
      <c r="F74" s="14" t="s">
        <v>130</v>
      </c>
      <c r="G74" s="8" t="s">
        <v>14</v>
      </c>
      <c r="H74" s="8" t="str">
        <f>HYPERLINK("https://www.avito.ru/yanino-1/uslugi/priem_metalloloma_vyvoz_metalloloma_demontazh_7805268521","7805268521")</f>
        <v>7805268521</v>
      </c>
    </row>
    <row r="75" spans="1:8" x14ac:dyDescent="0.3">
      <c r="A75" s="9" t="s">
        <v>127</v>
      </c>
      <c r="B75" s="1" t="str">
        <f>HYPERLINK("https://www.avito.ru/sankt-peterburg/uslugi/sdat_metallolom_spb_i_lo_7805276749","Сдать металлолом СПБ и ло")</f>
        <v>Сдать металлолом СПБ и ло</v>
      </c>
      <c r="D75" t="s">
        <v>11</v>
      </c>
      <c r="E75" t="s">
        <v>88</v>
      </c>
      <c r="F75" s="14" t="s">
        <v>130</v>
      </c>
      <c r="G75" s="8" t="s">
        <v>14</v>
      </c>
      <c r="H75" s="8" t="str">
        <f>HYPERLINK("https://www.avito.ru/sankt-peterburg/uslugi/sdat_metallolom_spb_i_lo_7805276749","7805276749")</f>
        <v>7805276749</v>
      </c>
    </row>
    <row r="76" spans="1:8" x14ac:dyDescent="0.3">
      <c r="A76" s="9" t="s">
        <v>127</v>
      </c>
      <c r="B76" s="1" t="str">
        <f>HYPERLINK("https://www.avito.ru/sankt-peterburg_peterhof/uslugi/priem_i_vyvoz_metalloloma_spb_i_lo_7805284931","Прием и вывоз металлолома СПБ и ло")</f>
        <v>Прием и вывоз металлолома СПБ и ло</v>
      </c>
      <c r="C76" t="s">
        <v>11</v>
      </c>
      <c r="D76" t="s">
        <v>56</v>
      </c>
      <c r="E76" t="s">
        <v>57</v>
      </c>
      <c r="F76" s="14" t="s">
        <v>130</v>
      </c>
      <c r="G76" s="8" t="s">
        <v>14</v>
      </c>
      <c r="H76" s="8" t="str">
        <f>HYPERLINK("https://www.avito.ru/sankt-peterburg_peterhof/uslugi/priem_i_vyvoz_metalloloma_spb_i_lo_7805284931","7805284931")</f>
        <v>7805284931</v>
      </c>
    </row>
    <row r="77" spans="1:8" x14ac:dyDescent="0.3">
      <c r="A77" s="9" t="s">
        <v>127</v>
      </c>
      <c r="B77" s="1" t="str">
        <f>HYPERLINK("https://www.avito.ru/sankt-peterburg/uslugi/priem_kabelya_provodov_7805319819","Прием кабеля, проводов")</f>
        <v>Прием кабеля, проводов</v>
      </c>
      <c r="D77" t="s">
        <v>11</v>
      </c>
      <c r="E77" t="s">
        <v>89</v>
      </c>
      <c r="F77" s="14" t="s">
        <v>130</v>
      </c>
      <c r="G77" s="8" t="s">
        <v>14</v>
      </c>
      <c r="H77" s="8" t="str">
        <f>HYPERLINK("https://www.avito.ru/sankt-peterburg/uslugi/priem_kabelya_provodov_7805319819","7805319819")</f>
        <v>7805319819</v>
      </c>
    </row>
    <row r="78" spans="1:8" x14ac:dyDescent="0.3">
      <c r="A78" s="9" t="s">
        <v>127</v>
      </c>
      <c r="B78" s="1" t="str">
        <f>HYPERLINK("https://www.avito.ru/sankt-peterburg_peterhof/uslugi/skupka_i_vyvoz_metalloloma_v_spb_i_lo_s_demontazhem_7805340097","Скупка и вывоз металлолома в СПб и ло с демонтажем")</f>
        <v>Скупка и вывоз металлолома в СПб и ло с демонтажем</v>
      </c>
      <c r="C78" t="s">
        <v>11</v>
      </c>
      <c r="D78" t="s">
        <v>56</v>
      </c>
      <c r="E78" t="s">
        <v>57</v>
      </c>
      <c r="F78" s="14" t="s">
        <v>130</v>
      </c>
      <c r="G78" s="8" t="s">
        <v>14</v>
      </c>
      <c r="H78" s="8" t="str">
        <f>HYPERLINK("https://www.avito.ru/sankt-peterburg_peterhof/uslugi/skupka_i_vyvoz_metalloloma_v_spb_i_lo_s_demontazhem_7805340097","7805340097")</f>
        <v>7805340097</v>
      </c>
    </row>
    <row r="79" spans="1:8" x14ac:dyDescent="0.3">
      <c r="A79" s="9" t="s">
        <v>127</v>
      </c>
      <c r="B79" s="1" t="str">
        <f>HYPERLINK("https://www.avito.ru/kudrovo/uslugi/priem_i_vyvoz_metalloloma_7805352862","Прием и вывоз металлолома")</f>
        <v>Прием и вывоз металлолома</v>
      </c>
      <c r="C79" t="s">
        <v>52</v>
      </c>
      <c r="D79" t="s">
        <v>90</v>
      </c>
      <c r="E79" t="s">
        <v>91</v>
      </c>
      <c r="F79" s="14" t="s">
        <v>130</v>
      </c>
      <c r="G79" s="8" t="s">
        <v>14</v>
      </c>
      <c r="H79" s="8" t="str">
        <f>HYPERLINK("https://www.avito.ru/kudrovo/uslugi/priem_i_vyvoz_metalloloma_7805352862","7805352862")</f>
        <v>7805352862</v>
      </c>
    </row>
    <row r="80" spans="1:8" x14ac:dyDescent="0.3">
      <c r="A80" s="9" t="s">
        <v>127</v>
      </c>
      <c r="B80" s="1" t="str">
        <f>HYPERLINK("https://www.avito.ru/sankt-peterburg_peterhof/uslugi/priem_bu_akkumulyatorov_7805365415","Прием бу аккумуляторов")</f>
        <v>Прием бу аккумуляторов</v>
      </c>
      <c r="C80" t="s">
        <v>11</v>
      </c>
      <c r="D80" t="s">
        <v>56</v>
      </c>
      <c r="E80" t="s">
        <v>57</v>
      </c>
      <c r="F80" s="14" t="s">
        <v>130</v>
      </c>
      <c r="G80" s="8" t="s">
        <v>14</v>
      </c>
      <c r="H80" s="8" t="str">
        <f>HYPERLINK("https://www.avito.ru/sankt-peterburg_peterhof/uslugi/priem_bu_akkumulyatorov_7805365415","7805365415")</f>
        <v>7805365415</v>
      </c>
    </row>
    <row r="81" spans="1:8" x14ac:dyDescent="0.3">
      <c r="A81" s="9" t="s">
        <v>127</v>
      </c>
      <c r="B81" s="1" t="str">
        <f>HYPERLINK("https://www.avito.ru/sankt-peterburg_zelenogorsk/uslugi/skupka_metalla._redkozemelnye_metally_7805406877","Скупка металла. Редкоземельные металлы")</f>
        <v>Скупка металла. Редкоземельные металлы</v>
      </c>
      <c r="C81" t="s">
        <v>11</v>
      </c>
      <c r="D81" t="s">
        <v>72</v>
      </c>
      <c r="E81" t="s">
        <v>73</v>
      </c>
      <c r="F81" s="14" t="s">
        <v>130</v>
      </c>
      <c r="G81" s="8" t="s">
        <v>14</v>
      </c>
      <c r="H81" s="8" t="str">
        <f>HYPERLINK("https://www.avito.ru/sankt-peterburg_zelenogorsk/uslugi/skupka_metalla._redkozemelnye_metally_7805406877","7805406877")</f>
        <v>7805406877</v>
      </c>
    </row>
    <row r="82" spans="1:8" x14ac:dyDescent="0.3">
      <c r="A82" s="9" t="s">
        <v>127</v>
      </c>
      <c r="B82" s="1" t="str">
        <f>HYPERLINK("https://www.avito.ru/bugry/uslugi/sdat_metallolom_spb_i_lo_7805459729","Сдать металлолом СПБ и ло")</f>
        <v>Сдать металлолом СПБ и ло</v>
      </c>
      <c r="C82" t="s">
        <v>52</v>
      </c>
      <c r="D82" t="s">
        <v>92</v>
      </c>
      <c r="E82" t="s">
        <v>93</v>
      </c>
      <c r="F82" s="14" t="s">
        <v>130</v>
      </c>
      <c r="G82" s="8" t="s">
        <v>14</v>
      </c>
      <c r="H82" s="8" t="str">
        <f>HYPERLINK("https://www.avito.ru/bugry/uslugi/sdat_metallolom_spb_i_lo_7805459729","7805459729")</f>
        <v>7805459729</v>
      </c>
    </row>
    <row r="83" spans="1:8" x14ac:dyDescent="0.3">
      <c r="A83" s="9" t="s">
        <v>127</v>
      </c>
      <c r="B83" s="1" t="str">
        <f>HYPERLINK("https://www.avito.ru/murino/uslugi/priem_i_vyvoz_metalloloma_samovyvoz_loma_7805472834","Прием и вывоз металлолома / Самовывоз лома")</f>
        <v>Прием и вывоз металлолома / Самовывоз лома</v>
      </c>
      <c r="C83" t="s">
        <v>52</v>
      </c>
      <c r="D83" t="s">
        <v>94</v>
      </c>
      <c r="E83" t="s">
        <v>95</v>
      </c>
      <c r="F83" s="14" t="s">
        <v>130</v>
      </c>
      <c r="G83" s="8" t="s">
        <v>14</v>
      </c>
      <c r="H83" s="8" t="str">
        <f>HYPERLINK("https://www.avito.ru/murino/uslugi/priem_i_vyvoz_metalloloma_samovyvoz_loma_7805472834","7805472834")</f>
        <v>7805472834</v>
      </c>
    </row>
    <row r="84" spans="1:8" x14ac:dyDescent="0.3">
      <c r="A84" s="9" t="s">
        <v>127</v>
      </c>
      <c r="B84" s="1" t="str">
        <f>HYPERLINK("https://www.avito.ru/arhangelsk/uslugi/priem_i_vyvoz_metalloloma_samovyvoz_loma_7805494868","Прием и вывоз металлолома / Самовывоз лома")</f>
        <v>Прием и вывоз металлолома / Самовывоз лома</v>
      </c>
      <c r="C84" t="s">
        <v>26</v>
      </c>
      <c r="D84" t="s">
        <v>27</v>
      </c>
      <c r="E84" t="s">
        <v>28</v>
      </c>
      <c r="F84" s="14" t="s">
        <v>130</v>
      </c>
      <c r="G84" s="8" t="s">
        <v>14</v>
      </c>
      <c r="H84" s="8" t="str">
        <f>HYPERLINK("https://www.avito.ru/arhangelsk/uslugi/priem_i_vyvoz_metalloloma_samovyvoz_loma_7805494868","7805494868")</f>
        <v>7805494868</v>
      </c>
    </row>
    <row r="85" spans="1:8" x14ac:dyDescent="0.3">
      <c r="A85" s="9" t="s">
        <v>127</v>
      </c>
      <c r="B85" s="1" t="str">
        <f>HYPERLINK("https://www.avito.ru/sankt-peterburg_kronstadt/uslugi/priem_bu_akkumulyatorov_akb_7805525534","Прием бу аккумуляторов АКБ")</f>
        <v>Прием бу аккумуляторов АКБ</v>
      </c>
      <c r="C85" t="s">
        <v>11</v>
      </c>
      <c r="D85" t="s">
        <v>44</v>
      </c>
      <c r="E85" t="s">
        <v>45</v>
      </c>
      <c r="F85" s="14" t="s">
        <v>130</v>
      </c>
      <c r="G85" s="8" t="s">
        <v>14</v>
      </c>
      <c r="H85" s="8" t="str">
        <f>HYPERLINK("https://www.avito.ru/sankt-peterburg_kronstadt/uslugi/priem_bu_akkumulyatorov_akb_7805525534","7805525534")</f>
        <v>7805525534</v>
      </c>
    </row>
    <row r="86" spans="1:8" x14ac:dyDescent="0.3">
      <c r="A86" s="9" t="s">
        <v>127</v>
      </c>
      <c r="B86" s="1" t="str">
        <f>HYPERLINK("https://www.avito.ru/leningradskaya_oblast_kirovsk/uslugi/priem_i_vyvoz_metalloloma_7805526287","Прием и вывоз металлолома")</f>
        <v>Прием и вывоз металлолома</v>
      </c>
      <c r="C86" t="s">
        <v>52</v>
      </c>
      <c r="D86" t="s">
        <v>96</v>
      </c>
      <c r="E86" t="s">
        <v>97</v>
      </c>
      <c r="F86" s="14" t="s">
        <v>130</v>
      </c>
      <c r="G86" s="8" t="s">
        <v>14</v>
      </c>
      <c r="H86" s="8" t="str">
        <f>HYPERLINK("https://www.avito.ru/leningradskaya_oblast_kirovsk/uslugi/priem_i_vyvoz_metalloloma_7805526287","7805526287")</f>
        <v>7805526287</v>
      </c>
    </row>
    <row r="87" spans="1:8" x14ac:dyDescent="0.3">
      <c r="A87" s="9" t="s">
        <v>127</v>
      </c>
      <c r="B87" s="1" t="str">
        <f>HYPERLINK("https://www.avito.ru/gatchina/uslugi/priem_i_vyvoz_metalloloma_7805570137","Прием и вывоз металлолома")</f>
        <v>Прием и вывоз металлолома</v>
      </c>
      <c r="C87" t="s">
        <v>52</v>
      </c>
      <c r="D87" t="s">
        <v>58</v>
      </c>
      <c r="E87" t="s">
        <v>59</v>
      </c>
      <c r="F87" s="14" t="s">
        <v>130</v>
      </c>
      <c r="G87" s="8" t="s">
        <v>14</v>
      </c>
      <c r="H87" s="8" t="str">
        <f>HYPERLINK("https://www.avito.ru/gatchina/uslugi/priem_i_vyvoz_metalloloma_7805570137","7805570137")</f>
        <v>7805570137</v>
      </c>
    </row>
    <row r="88" spans="1:8" x14ac:dyDescent="0.3">
      <c r="A88" s="9" t="s">
        <v>127</v>
      </c>
      <c r="B88" s="1" t="str">
        <f>HYPERLINK("https://www.avito.ru/novoe_devyatkino/uslugi/skupka_i_vyvoz_metalloloma_v_spb_i_lo_s_demontazhem_7805577658","Скупка и вывоз металлолома в СПб и ло с демонтажем")</f>
        <v>Скупка и вывоз металлолома в СПб и ло с демонтажем</v>
      </c>
      <c r="C88" t="s">
        <v>52</v>
      </c>
      <c r="D88" t="s">
        <v>98</v>
      </c>
      <c r="E88" t="s">
        <v>99</v>
      </c>
      <c r="F88" s="14" t="s">
        <v>130</v>
      </c>
      <c r="G88" s="8" t="s">
        <v>14</v>
      </c>
      <c r="H88" s="8" t="str">
        <f>HYPERLINK("https://www.avito.ru/novoe_devyatkino/uslugi/skupka_i_vyvoz_metalloloma_v_spb_i_lo_s_demontazhem_7805577658","7805577658")</f>
        <v>7805577658</v>
      </c>
    </row>
    <row r="89" spans="1:8" x14ac:dyDescent="0.3">
      <c r="A89" s="9" t="s">
        <v>127</v>
      </c>
      <c r="B89" s="1" t="str">
        <f>HYPERLINK("https://www.avito.ru/koltushi/uslugi/priem_metalloloma_vyvoz_metalloloma_demontazh_7805587603","Прием металлолома / вывоз металлолома / демонтаж")</f>
        <v>Прием металлолома / вывоз металлолома / демонтаж</v>
      </c>
      <c r="C89" t="s">
        <v>52</v>
      </c>
      <c r="D89" t="s">
        <v>100</v>
      </c>
      <c r="E89" t="s">
        <v>101</v>
      </c>
      <c r="F89" s="14" t="s">
        <v>130</v>
      </c>
      <c r="G89" s="8" t="s">
        <v>14</v>
      </c>
      <c r="H89" s="8" t="str">
        <f>HYPERLINK("https://www.avito.ru/koltushi/uslugi/priem_metalloloma_vyvoz_metalloloma_demontazh_7805587603","7805587603")</f>
        <v>7805587603</v>
      </c>
    </row>
    <row r="90" spans="1:8" x14ac:dyDescent="0.3">
      <c r="A90" s="9" t="s">
        <v>127</v>
      </c>
      <c r="B90" s="1" t="str">
        <f>HYPERLINK("https://www.avito.ru/sankt-peterburg_zelenogorsk/uslugi/priem_i_vyvoz_metalloloma_samovyvoz_loma_7805635475","Прием и вывоз металлолома / Самовывоз лома")</f>
        <v>Прием и вывоз металлолома / Самовывоз лома</v>
      </c>
      <c r="C90" t="s">
        <v>11</v>
      </c>
      <c r="D90" t="s">
        <v>72</v>
      </c>
      <c r="E90" t="s">
        <v>73</v>
      </c>
      <c r="F90" s="14" t="s">
        <v>130</v>
      </c>
      <c r="G90" s="8" t="s">
        <v>14</v>
      </c>
      <c r="H90" s="8" t="str">
        <f>HYPERLINK("https://www.avito.ru/sankt-peterburg_zelenogorsk/uslugi/priem_i_vyvoz_metalloloma_samovyvoz_loma_7805635475","7805635475")</f>
        <v>7805635475</v>
      </c>
    </row>
    <row r="91" spans="1:8" x14ac:dyDescent="0.3">
      <c r="A91" s="9" t="s">
        <v>127</v>
      </c>
      <c r="B91" s="1" t="str">
        <f>HYPERLINK("https://www.avito.ru/sertolovo/uslugi/sdat_metallolom_spb_i_lo_7805762058","Сдать металлолом СПБ и ло")</f>
        <v>Сдать металлолом СПБ и ло</v>
      </c>
      <c r="C91" t="s">
        <v>52</v>
      </c>
      <c r="D91" t="s">
        <v>102</v>
      </c>
      <c r="E91" t="s">
        <v>103</v>
      </c>
      <c r="F91" s="14" t="s">
        <v>130</v>
      </c>
      <c r="G91" s="8" t="s">
        <v>14</v>
      </c>
      <c r="H91" s="8" t="str">
        <f>HYPERLINK("https://www.avito.ru/sertolovo/uslugi/sdat_metallolom_spb_i_lo_7805762058","7805762058")</f>
        <v>7805762058</v>
      </c>
    </row>
    <row r="92" spans="1:8" x14ac:dyDescent="0.3">
      <c r="A92" s="9" t="s">
        <v>127</v>
      </c>
      <c r="B92" s="1" t="str">
        <f>HYPERLINK("https://www.avito.ru/sankt-peterburg/uslugi/priem_metalloloma._redkozemelnye_metally_7805774797","Прием металлолома. Редкоземельные металлы")</f>
        <v>Прием металлолома. Редкоземельные металлы</v>
      </c>
      <c r="D92" t="s">
        <v>11</v>
      </c>
      <c r="E92" t="s">
        <v>33</v>
      </c>
      <c r="F92" s="14" t="s">
        <v>130</v>
      </c>
      <c r="G92" s="8" t="s">
        <v>14</v>
      </c>
      <c r="H92" s="8" t="str">
        <f>HYPERLINK("https://www.avito.ru/sankt-peterburg/uslugi/priem_metalloloma._redkozemelnye_metally_7805774797","7805774797")</f>
        <v>7805774797</v>
      </c>
    </row>
    <row r="93" spans="1:8" x14ac:dyDescent="0.3">
      <c r="A93" s="9" t="s">
        <v>127</v>
      </c>
      <c r="B93" s="1" t="str">
        <f>HYPERLINK("https://www.avito.ru/vysotsk/uslugi/priem_i_vyvoz_metalloloma_samovyvoz_loma_7805784940","Прием и вывоз металлолома / Самовывоз лома")</f>
        <v>Прием и вывоз металлолома / Самовывоз лома</v>
      </c>
      <c r="C93" t="s">
        <v>52</v>
      </c>
      <c r="D93" t="s">
        <v>104</v>
      </c>
      <c r="E93" t="s">
        <v>105</v>
      </c>
      <c r="F93" s="14" t="s">
        <v>130</v>
      </c>
      <c r="G93" s="8" t="s">
        <v>14</v>
      </c>
      <c r="H93" s="8" t="str">
        <f>HYPERLINK("https://www.avito.ru/vysotsk/uslugi/priem_i_vyvoz_metalloloma_samovyvoz_loma_7805784940","7805784940")</f>
        <v>7805784940</v>
      </c>
    </row>
    <row r="94" spans="1:8" x14ac:dyDescent="0.3">
      <c r="A94" s="9" t="s">
        <v>127</v>
      </c>
      <c r="B94" s="1" t="str">
        <f>HYPERLINK("https://www.avito.ru/leningradskaya_oblast_nikolskoe/uslugi/priem_i_vyvoz_metalloloma_7805884690","Прием и вывоз металлолома")</f>
        <v>Прием и вывоз металлолома</v>
      </c>
      <c r="C94" t="s">
        <v>52</v>
      </c>
      <c r="D94" t="s">
        <v>107</v>
      </c>
      <c r="E94" t="s">
        <v>107</v>
      </c>
      <c r="F94" s="14" t="s">
        <v>130</v>
      </c>
      <c r="G94" s="8" t="s">
        <v>14</v>
      </c>
      <c r="H94" s="8" t="str">
        <f>HYPERLINK("https://www.avito.ru/leningradskaya_oblast_nikolskoe/uslugi/priem_i_vyvoz_metalloloma_7805884690","7805884690")</f>
        <v>7805884690</v>
      </c>
    </row>
    <row r="95" spans="1:8" x14ac:dyDescent="0.3">
      <c r="A95" s="9" t="s">
        <v>127</v>
      </c>
      <c r="B95" s="1" t="str">
        <f>HYPERLINK("https://www.avito.ru/leningradskaya_oblast_primorsk/uslugi/priem_metalloloma_vyvoz_metalloloma_demontazh_7805887366","Прием металлолома / вывоз металлолома / демонтаж")</f>
        <v>Прием металлолома / вывоз металлолома / демонтаж</v>
      </c>
      <c r="C95" t="s">
        <v>52</v>
      </c>
      <c r="D95" t="s">
        <v>108</v>
      </c>
      <c r="E95" t="s">
        <v>109</v>
      </c>
      <c r="F95" s="14" t="s">
        <v>130</v>
      </c>
      <c r="G95" s="8" t="s">
        <v>14</v>
      </c>
      <c r="H95" s="8" t="str">
        <f>HYPERLINK("https://www.avito.ru/leningradskaya_oblast_primorsk/uslugi/priem_metalloloma_vyvoz_metalloloma_demontazh_7805887366","7805887366")</f>
        <v>7805887366</v>
      </c>
    </row>
    <row r="96" spans="1:8" x14ac:dyDescent="0.3">
      <c r="A96" s="9" t="s">
        <v>127</v>
      </c>
      <c r="B96" s="1" t="str">
        <f>HYPERLINK("https://www.avito.ru/sankt-peterburg_sestroretsk/uslugi/skupka_radiodetaley_plat_priborov_7805915116","Скупка радиодеталей / плат / приборов")</f>
        <v>Скупка радиодеталей / плат / приборов</v>
      </c>
      <c r="C96" t="s">
        <v>11</v>
      </c>
      <c r="D96" t="s">
        <v>79</v>
      </c>
      <c r="E96" t="s">
        <v>80</v>
      </c>
      <c r="F96" s="14" t="s">
        <v>130</v>
      </c>
      <c r="G96" s="8" t="s">
        <v>14</v>
      </c>
      <c r="H96" s="8" t="str">
        <f>HYPERLINK("https://www.avito.ru/sankt-peterburg_sestroretsk/uslugi/skupka_radiodetaley_plat_priborov_7805915116","7805915116")</f>
        <v>7805915116</v>
      </c>
    </row>
    <row r="97" spans="1:8" x14ac:dyDescent="0.3">
      <c r="A97" s="9" t="s">
        <v>127</v>
      </c>
      <c r="B97" s="1" t="str">
        <f>HYPERLINK("https://www.avito.ru/podporozhe/uslugi/priem_i_vyvoz_metalloloma_7805924301","Прием и вывоз металлолома")</f>
        <v>Прием и вывоз металлолома</v>
      </c>
      <c r="C97" t="s">
        <v>52</v>
      </c>
      <c r="D97" t="s">
        <v>110</v>
      </c>
      <c r="E97" t="s">
        <v>110</v>
      </c>
      <c r="F97" s="14" t="s">
        <v>130</v>
      </c>
      <c r="G97" s="8" t="s">
        <v>14</v>
      </c>
      <c r="H97" s="8" t="str">
        <f>HYPERLINK("https://www.avito.ru/podporozhe/uslugi/priem_i_vyvoz_metalloloma_7805924301","7805924301")</f>
        <v>7805924301</v>
      </c>
    </row>
    <row r="98" spans="1:8" x14ac:dyDescent="0.3">
      <c r="A98" s="9" t="s">
        <v>127</v>
      </c>
      <c r="B98" s="1" t="str">
        <f>HYPERLINK("https://www.avito.ru/sankt-peterburg_sestroretsk/uslugi/skupka_i_vyvoz_metalloloma_v_spb_i_lo_s_demontazhem_7805929674","Скупка и вывоз металлолома в СПб и ло с демонтажем")</f>
        <v>Скупка и вывоз металлолома в СПб и ло с демонтажем</v>
      </c>
      <c r="C98" t="s">
        <v>11</v>
      </c>
      <c r="D98" t="s">
        <v>79</v>
      </c>
      <c r="E98" t="s">
        <v>80</v>
      </c>
      <c r="F98" s="14" t="s">
        <v>130</v>
      </c>
      <c r="G98" s="8" t="s">
        <v>14</v>
      </c>
      <c r="H98" s="8" t="str">
        <f>HYPERLINK("https://www.avito.ru/sankt-peterburg_sestroretsk/uslugi/skupka_i_vyvoz_metalloloma_v_spb_i_lo_s_demontazhem_7805929674","7805929674")</f>
        <v>7805929674</v>
      </c>
    </row>
    <row r="99" spans="1:8" x14ac:dyDescent="0.3">
      <c r="A99" s="9" t="s">
        <v>127</v>
      </c>
      <c r="B99" s="1" t="str">
        <f>HYPERLINK("https://www.avito.ru/sankt-peterburg/uslugi/priem_struzhki_olovasdat_olovosdat_rzm_7836944674","Прием стружки Олова/сдать олово/сдать рзм")</f>
        <v>Прием стружки Олова/сдать олово/сдать рзм</v>
      </c>
      <c r="D99" t="s">
        <v>11</v>
      </c>
      <c r="E99" t="s">
        <v>111</v>
      </c>
      <c r="F99" s="14" t="s">
        <v>129</v>
      </c>
      <c r="G99" s="8" t="s">
        <v>24</v>
      </c>
      <c r="H99" s="8" t="str">
        <f>HYPERLINK("https://www.avito.ru/sankt-peterburg/uslugi/priem_struzhki_olovasdat_olovosdat_rzm_7836944674","7836944674")</f>
        <v>7836944674</v>
      </c>
    </row>
    <row r="100" spans="1:8" x14ac:dyDescent="0.3">
      <c r="A100" s="9" t="s">
        <v>127</v>
      </c>
      <c r="B100" s="1" t="str">
        <f>HYPERLINK("https://www.avito.ru/sankt-peterburg/uslugi/priem_samoplava_olovasdat_olovosdat_rzm_7837002497","Прием самоплава Олова/сдать олово/сдать рзм")</f>
        <v>Прием самоплава Олова/сдать олово/сдать рзм</v>
      </c>
      <c r="D100" t="s">
        <v>11</v>
      </c>
      <c r="E100" t="s">
        <v>111</v>
      </c>
      <c r="F100" s="14" t="s">
        <v>129</v>
      </c>
      <c r="G100" s="8" t="s">
        <v>24</v>
      </c>
      <c r="H100" s="8" t="str">
        <f>HYPERLINK("https://www.avito.ru/sankt-peterburg/uslugi/priem_samoplava_olovasdat_olovosdat_rzm_7837002497","7837002497")</f>
        <v>7837002497</v>
      </c>
    </row>
    <row r="101" spans="1:8" x14ac:dyDescent="0.3">
      <c r="A101" s="9" t="s">
        <v>127</v>
      </c>
      <c r="B101" s="1" t="str">
        <f>HYPERLINK("https://www.avito.ru/sankt-peterburg/uslugi/sdat_surmulom_surmypriem_loma_7837033412","Сдать сурьму/лом сурьмы/прием лома")</f>
        <v>Сдать сурьму/лом сурьмы/прием лома</v>
      </c>
      <c r="D101" t="s">
        <v>11</v>
      </c>
      <c r="E101" t="s">
        <v>23</v>
      </c>
      <c r="F101" s="14" t="s">
        <v>129</v>
      </c>
      <c r="G101" s="8" t="s">
        <v>24</v>
      </c>
      <c r="H101" s="8" t="str">
        <f>HYPERLINK("https://www.avito.ru/sankt-peterburg/uslugi/sdat_surmulom_surmypriem_loma_7837033412","7837033412")</f>
        <v>7837033412</v>
      </c>
    </row>
    <row r="102" spans="1:8" x14ac:dyDescent="0.3">
      <c r="A102" s="9" t="s">
        <v>127</v>
      </c>
      <c r="B102" s="1" t="str">
        <f>HYPERLINK("https://www.avito.ru/sankt-peterburg/uslugi/sdat_babbitbabbit_b16sdat_lom_7837033801","Сдать Баббит/Баббит Б16/сдать лом")</f>
        <v>Сдать Баббит/Баббит Б16/сдать лом</v>
      </c>
      <c r="D102" t="s">
        <v>11</v>
      </c>
      <c r="E102" t="s">
        <v>11</v>
      </c>
      <c r="F102" s="14" t="s">
        <v>129</v>
      </c>
      <c r="G102" s="8" t="s">
        <v>24</v>
      </c>
      <c r="H102" s="8" t="str">
        <f>HYPERLINK("https://www.avito.ru/sankt-peterburg/uslugi/sdat_babbitbabbit_b16sdat_lom_7837033801","7837033801")</f>
        <v>7837033801</v>
      </c>
    </row>
    <row r="103" spans="1:8" x14ac:dyDescent="0.3">
      <c r="A103" s="9" t="s">
        <v>127</v>
      </c>
      <c r="B103" s="1" t="str">
        <f>HYPERLINK("https://www.avito.ru/sankt-peterburg/uslugi/priem_metalloloma_vyvoz_metalloloma_demontazh_7837077941","Прием металлолома / вывоз металлолома / демонтаж")</f>
        <v>Прием металлолома / вывоз металлолома / демонтаж</v>
      </c>
      <c r="D103" t="s">
        <v>11</v>
      </c>
      <c r="E103" t="s">
        <v>112</v>
      </c>
      <c r="F103" s="14" t="s">
        <v>130</v>
      </c>
      <c r="G103" s="8" t="s">
        <v>14</v>
      </c>
      <c r="H103" s="8" t="str">
        <f>HYPERLINK("https://www.avito.ru/sankt-peterburg/uslugi/priem_metalloloma_vyvoz_metalloloma_demontazh_7837077941","7837077941")</f>
        <v>7837077941</v>
      </c>
    </row>
    <row r="104" spans="1:8" x14ac:dyDescent="0.3">
      <c r="A104" s="9" t="s">
        <v>127</v>
      </c>
      <c r="B104" s="1" t="str">
        <f>HYPERLINK("https://www.avito.ru/cherepovets/uslugi/priem_alyuminiya.priem_metalloloma.vyvoz_7837119666","Прием алюминия.Прием металлолома.Вывоз")</f>
        <v>Прием алюминия.Прием металлолома.Вывоз</v>
      </c>
      <c r="C104" t="s">
        <v>39</v>
      </c>
      <c r="D104" t="s">
        <v>46</v>
      </c>
      <c r="E104" t="s">
        <v>47</v>
      </c>
      <c r="F104" s="14" t="s">
        <v>130</v>
      </c>
      <c r="G104" s="8" t="s">
        <v>14</v>
      </c>
      <c r="H104" s="8" t="str">
        <f>HYPERLINK("https://www.avito.ru/cherepovets/uslugi/priem_alyuminiya.priem_metalloloma.vyvoz_7837119666","7837119666")</f>
        <v>7837119666</v>
      </c>
    </row>
    <row r="105" spans="1:8" x14ac:dyDescent="0.3">
      <c r="A105" s="9" t="s">
        <v>127</v>
      </c>
      <c r="B105" s="1" t="str">
        <f>HYPERLINK("https://www.avito.ru/cherepovets/uslugi/vyvoz_metalloloma_nerzhaveyka_bu_7837128017","Вывоз металлолома / нержавейка бу")</f>
        <v>Вывоз металлолома / нержавейка бу</v>
      </c>
      <c r="C105" t="s">
        <v>39</v>
      </c>
      <c r="D105" t="s">
        <v>46</v>
      </c>
      <c r="E105" t="s">
        <v>47</v>
      </c>
      <c r="F105" s="14" t="s">
        <v>130</v>
      </c>
      <c r="G105" s="8" t="s">
        <v>14</v>
      </c>
      <c r="H105" s="8" t="str">
        <f>HYPERLINK("https://www.avito.ru/cherepovets/uslugi/vyvoz_metalloloma_nerzhaveyka_bu_7837128017","7837128017")</f>
        <v>7837128017</v>
      </c>
    </row>
    <row r="106" spans="1:8" x14ac:dyDescent="0.3">
      <c r="A106" s="9" t="s">
        <v>127</v>
      </c>
      <c r="B106" s="1" t="str">
        <f>HYPERLINK("https://www.avito.ru/sankt-peterburg/uslugi/priem_olova_01pchsdat_olovosdat_rzm_7837140602","Прием Олова 01пч/сдать олово/сдать рзм")</f>
        <v>Прием Олова 01пч/сдать олово/сдать рзм</v>
      </c>
      <c r="D106" t="s">
        <v>11</v>
      </c>
      <c r="E106" t="s">
        <v>48</v>
      </c>
      <c r="F106" s="14" t="s">
        <v>129</v>
      </c>
      <c r="G106" s="8" t="s">
        <v>24</v>
      </c>
      <c r="H106" s="8" t="str">
        <f>HYPERLINK("https://www.avito.ru/sankt-peterburg/uslugi/priem_olova_01pchsdat_olovosdat_rzm_7837140602","7837140602")</f>
        <v>7837140602</v>
      </c>
    </row>
    <row r="107" spans="1:8" x14ac:dyDescent="0.3">
      <c r="A107" s="9" t="s">
        <v>127</v>
      </c>
      <c r="B107" s="1" t="str">
        <f>HYPERLINK("https://www.avito.ru/cherepovets/uslugi/vyvoz_metalloloma_skupka_medi_sdat_med_7837145209","Вывоз металлолома, скупка меди, сдать медь")</f>
        <v>Вывоз металлолома, скупка меди, сдать медь</v>
      </c>
      <c r="C107" t="s">
        <v>39</v>
      </c>
      <c r="D107" t="s">
        <v>46</v>
      </c>
      <c r="E107" t="s">
        <v>47</v>
      </c>
      <c r="F107" s="14" t="s">
        <v>130</v>
      </c>
      <c r="G107" s="8" t="s">
        <v>14</v>
      </c>
      <c r="H107" s="8" t="str">
        <f>HYPERLINK("https://www.avito.ru/cherepovets/uslugi/vyvoz_metalloloma_skupka_medi_sdat_med_7837145209","7837145209")</f>
        <v>7837145209</v>
      </c>
    </row>
    <row r="108" spans="1:8" x14ac:dyDescent="0.3">
      <c r="A108" s="9" t="s">
        <v>127</v>
      </c>
      <c r="B108" s="1" t="str">
        <f>HYPERLINK("https://www.avito.ru/velikiy_novgorod/uslugi/priem_alyuminiya.priem_metalloloma.vyvoz_7837165853","Прием алюминия.Прием металлолома.Вывоз")</f>
        <v>Прием алюминия.Прием металлолома.Вывоз</v>
      </c>
      <c r="C108" t="s">
        <v>29</v>
      </c>
      <c r="D108" t="s">
        <v>30</v>
      </c>
      <c r="E108" t="s">
        <v>31</v>
      </c>
      <c r="F108" s="14" t="s">
        <v>130</v>
      </c>
      <c r="G108" s="8" t="s">
        <v>14</v>
      </c>
      <c r="H108" s="8" t="str">
        <f>HYPERLINK("https://www.avito.ru/velikiy_novgorod/uslugi/priem_alyuminiya.priem_metalloloma.vyvoz_7837165853","7837165853")</f>
        <v>7837165853</v>
      </c>
    </row>
    <row r="109" spans="1:8" x14ac:dyDescent="0.3">
      <c r="A109" s="9" t="s">
        <v>127</v>
      </c>
      <c r="B109" s="1" t="str">
        <f>HYPERLINK("https://www.avito.ru/arhangelsk/uslugi/priem_metalloloma_vyvoz_metalloloma_demontazh_7837181998","Прием металлолома / вывоз металлолома / демонтаж")</f>
        <v>Прием металлолома / вывоз металлолома / демонтаж</v>
      </c>
      <c r="C109" t="s">
        <v>26</v>
      </c>
      <c r="D109" t="s">
        <v>27</v>
      </c>
      <c r="E109" t="s">
        <v>28</v>
      </c>
      <c r="F109" s="14" t="s">
        <v>130</v>
      </c>
      <c r="G109" s="8" t="s">
        <v>14</v>
      </c>
      <c r="H109" s="8" t="str">
        <f>HYPERLINK("https://www.avito.ru/arhangelsk/uslugi/priem_metalloloma_vyvoz_metalloloma_demontazh_7837181998","7837181998")</f>
        <v>7837181998</v>
      </c>
    </row>
    <row r="110" spans="1:8" x14ac:dyDescent="0.3">
      <c r="A110" s="9" t="s">
        <v>127</v>
      </c>
      <c r="B110" s="1" t="str">
        <f>HYPERLINK("https://www.avito.ru/sankt-peterburg/uslugi/sdat_lom_tsinkapriem_tsinkapriem_loma_7837212042","Сдать лом цинка/прием цинка/прием лома")</f>
        <v>Сдать лом цинка/прием цинка/прием лома</v>
      </c>
      <c r="D110" t="s">
        <v>11</v>
      </c>
      <c r="E110" t="s">
        <v>23</v>
      </c>
      <c r="F110" s="14" t="s">
        <v>129</v>
      </c>
      <c r="G110" s="8" t="s">
        <v>24</v>
      </c>
      <c r="H110" s="8" t="str">
        <f>HYPERLINK("https://www.avito.ru/sankt-peterburg/uslugi/sdat_lom_tsinkapriem_tsinkapriem_loma_7837212042","7837212042")</f>
        <v>7837212042</v>
      </c>
    </row>
    <row r="111" spans="1:8" x14ac:dyDescent="0.3">
      <c r="A111" s="9" t="s">
        <v>127</v>
      </c>
      <c r="B111" s="1" t="str">
        <f>HYPERLINK("https://www.avito.ru/sankt-peterburg/uslugi/pokupaem_ferosplavypriem_loma_7837227242","Покупаем Феросплавы/прием лома")</f>
        <v>Покупаем Феросплавы/прием лома</v>
      </c>
      <c r="D111" t="s">
        <v>11</v>
      </c>
      <c r="E111" t="s">
        <v>23</v>
      </c>
      <c r="F111" s="14" t="s">
        <v>129</v>
      </c>
      <c r="G111" s="8" t="s">
        <v>24</v>
      </c>
      <c r="H111" s="8" t="str">
        <f>HYPERLINK("https://www.avito.ru/sankt-peterburg/uslugi/pokupaem_ferosplavypriem_loma_7837227242","7837227242")</f>
        <v>7837227242</v>
      </c>
    </row>
    <row r="112" spans="1:8" x14ac:dyDescent="0.3">
      <c r="A112" s="9" t="s">
        <v>127</v>
      </c>
      <c r="B112" s="1" t="str">
        <f>HYPERLINK("https://www.avito.ru/sankt-peterburg/uslugi/sdat_babbitbabbit_b83sdat_lom_7837441579","Сдать Баббит/Баббит Б83/сдать лом")</f>
        <v>Сдать Баббит/Баббит Б83/сдать лом</v>
      </c>
      <c r="D112" t="s">
        <v>11</v>
      </c>
      <c r="E112" t="s">
        <v>23</v>
      </c>
      <c r="F112" s="14" t="s">
        <v>129</v>
      </c>
      <c r="G112" s="8" t="s">
        <v>24</v>
      </c>
      <c r="H112" s="8" t="str">
        <f>HYPERLINK("https://www.avito.ru/sankt-peterburg/uslugi/sdat_babbitbabbit_b83sdat_lom_7837441579","7837441579")</f>
        <v>7837441579</v>
      </c>
    </row>
    <row r="113" spans="1:8" x14ac:dyDescent="0.3">
      <c r="A113" s="9" t="s">
        <v>127</v>
      </c>
      <c r="B113" s="1" t="str">
        <f>HYPERLINK("https://www.avito.ru/sankt-peterburg/uslugi/priem_niobiyaskupka_niobiyaskupka_loma_7837529524","Прием ниобия/скупка ниобия/скупка лома")</f>
        <v>Прием ниобия/скупка ниобия/скупка лома</v>
      </c>
      <c r="D113" t="s">
        <v>11</v>
      </c>
      <c r="E113" t="s">
        <v>60</v>
      </c>
      <c r="F113" s="14" t="s">
        <v>129</v>
      </c>
      <c r="G113" s="8" t="s">
        <v>24</v>
      </c>
      <c r="H113" s="8" t="str">
        <f>HYPERLINK("https://www.avito.ru/sankt-peterburg/uslugi/priem_niobiyaskupka_niobiyaskupka_loma_7837529524","7837529524")</f>
        <v>7837529524</v>
      </c>
    </row>
    <row r="114" spans="1:8" x14ac:dyDescent="0.3">
      <c r="A114" s="9" t="s">
        <v>127</v>
      </c>
      <c r="B114" s="1" t="str">
        <f>HYPERLINK("https://www.avito.ru/arhangelsk/uslugi/priem_alyuminiya.priem_metalloloma.vyvoz_7837606056","Прием алюминия.Прием металлолома.Вывоз")</f>
        <v>Прием алюминия.Прием металлолома.Вывоз</v>
      </c>
      <c r="C114" t="s">
        <v>26</v>
      </c>
      <c r="D114" t="s">
        <v>27</v>
      </c>
      <c r="E114" t="s">
        <v>28</v>
      </c>
      <c r="F114" s="14" t="s">
        <v>130</v>
      </c>
      <c r="G114" s="8" t="s">
        <v>14</v>
      </c>
      <c r="H114" s="8" t="str">
        <f>HYPERLINK("https://www.avito.ru/arhangelsk/uslugi/priem_alyuminiya.priem_metalloloma.vyvoz_7837606056","7837606056")</f>
        <v>7837606056</v>
      </c>
    </row>
    <row r="115" spans="1:8" x14ac:dyDescent="0.3">
      <c r="A115" s="9" t="s">
        <v>127</v>
      </c>
      <c r="B115" s="1" t="str">
        <f>HYPERLINK("https://www.avito.ru/arhangelsk/uslugi/vyvoz_metalloloma_nerzhaveyka_bu_7837610029","Вывоз металлолома / нержавейка бу")</f>
        <v>Вывоз металлолома / нержавейка бу</v>
      </c>
      <c r="C115" t="s">
        <v>26</v>
      </c>
      <c r="D115" t="s">
        <v>27</v>
      </c>
      <c r="E115" t="s">
        <v>28</v>
      </c>
      <c r="F115" s="14" t="s">
        <v>130</v>
      </c>
      <c r="G115" s="8" t="s">
        <v>14</v>
      </c>
      <c r="H115" s="8" t="str">
        <f>HYPERLINK("https://www.avito.ru/arhangelsk/uslugi/vyvoz_metalloloma_nerzhaveyka_bu_7837610029","7837610029")</f>
        <v>7837610029</v>
      </c>
    </row>
    <row r="116" spans="1:8" x14ac:dyDescent="0.3">
      <c r="A116" s="9" t="s">
        <v>127</v>
      </c>
      <c r="B116" s="1" t="str">
        <f>HYPERLINK("https://www.avito.ru/sankt-peterburg/uslugi/skupka_volframa_vndsdat_volfram_7837641405","Скупка Вольфрама внд/сдать вольфрам")</f>
        <v>Скупка Вольфрама внд/сдать вольфрам</v>
      </c>
      <c r="D116" t="s">
        <v>11</v>
      </c>
      <c r="E116" t="s">
        <v>23</v>
      </c>
      <c r="F116" s="14" t="s">
        <v>129</v>
      </c>
      <c r="G116" s="8" t="s">
        <v>24</v>
      </c>
      <c r="H116" s="8" t="str">
        <f>HYPERLINK("https://www.avito.ru/sankt-peterburg/uslugi/skupka_volframa_vndsdat_volfram_7837641405","7837641405")</f>
        <v>7837641405</v>
      </c>
    </row>
    <row r="117" spans="1:8" x14ac:dyDescent="0.3">
      <c r="A117" s="9" t="s">
        <v>127</v>
      </c>
      <c r="B117" s="1" t="str">
        <f>HYPERLINK("https://www.avito.ru/petrozavodsk/uslugi/priem_alyuminiya.priem_metalloloma.vyvoz_7837653139","Прием алюминия.Прием металлолома.Вывоз")</f>
        <v>Прием алюминия.Прием металлолома.Вывоз</v>
      </c>
      <c r="C117" t="s">
        <v>16</v>
      </c>
      <c r="D117" t="s">
        <v>17</v>
      </c>
      <c r="E117" t="s">
        <v>18</v>
      </c>
      <c r="F117" s="14" t="s">
        <v>130</v>
      </c>
      <c r="G117" s="8" t="s">
        <v>14</v>
      </c>
      <c r="H117" s="8" t="str">
        <f>HYPERLINK("https://www.avito.ru/petrozavodsk/uslugi/priem_alyuminiya.priem_metalloloma.vyvoz_7837653139","7837653139")</f>
        <v>7837653139</v>
      </c>
    </row>
    <row r="118" spans="1:8" x14ac:dyDescent="0.3">
      <c r="A118" s="9" t="s">
        <v>127</v>
      </c>
      <c r="B118" s="1" t="str">
        <f>HYPERLINK("https://www.avito.ru/velikiy_novgorod/uslugi/vyvoz_metalloloma_skupka_medi_sdat_med_7837695679","Вывоз металлолома, скупка меди, сдать медь")</f>
        <v>Вывоз металлолома, скупка меди, сдать медь</v>
      </c>
      <c r="C118" t="s">
        <v>29</v>
      </c>
      <c r="D118" t="s">
        <v>30</v>
      </c>
      <c r="E118" t="s">
        <v>31</v>
      </c>
      <c r="F118" s="14" t="s">
        <v>130</v>
      </c>
      <c r="G118" s="8" t="s">
        <v>14</v>
      </c>
      <c r="H118" s="8" t="str">
        <f>HYPERLINK("https://www.avito.ru/velikiy_novgorod/uslugi/vyvoz_metalloloma_skupka_medi_sdat_med_7837695679","7837695679")</f>
        <v>7837695679</v>
      </c>
    </row>
    <row r="119" spans="1:8" x14ac:dyDescent="0.3">
      <c r="A119" s="9" t="s">
        <v>127</v>
      </c>
      <c r="B119" s="1" t="str">
        <f>HYPERLINK("https://www.avito.ru/sankt-peterburg/uslugi/sdat_pripoy_pos_18-90priem_loma_7837735817","Сдать Припой пос 18-90/прием лома")</f>
        <v>Сдать Припой пос 18-90/прием лома</v>
      </c>
      <c r="D119" t="s">
        <v>11</v>
      </c>
      <c r="E119" t="s">
        <v>111</v>
      </c>
      <c r="F119" s="14" t="s">
        <v>129</v>
      </c>
      <c r="G119" s="8" t="s">
        <v>24</v>
      </c>
      <c r="H119" s="8" t="str">
        <f>HYPERLINK("https://www.avito.ru/sankt-peterburg/uslugi/sdat_pripoy_pos_18-90priem_loma_7837735817","7837735817")</f>
        <v>7837735817</v>
      </c>
    </row>
    <row r="120" spans="1:8" x14ac:dyDescent="0.3">
      <c r="A120" s="9" t="s">
        <v>127</v>
      </c>
      <c r="B120" s="1" t="str">
        <f>HYPERLINK("https://www.avito.ru/sankt-peterburg/uslugi/sdat_volfram_chistyyskupka_loma_7837771156","Сдать Вольфрам чистый/скупка лома")</f>
        <v>Сдать Вольфрам чистый/скупка лома</v>
      </c>
      <c r="D120" t="s">
        <v>11</v>
      </c>
      <c r="E120" t="s">
        <v>62</v>
      </c>
      <c r="F120" s="14" t="s">
        <v>129</v>
      </c>
      <c r="G120" s="8" t="s">
        <v>24</v>
      </c>
      <c r="H120" s="8" t="str">
        <f>HYPERLINK("https://www.avito.ru/sankt-peterburg/uslugi/sdat_volfram_chistyyskupka_loma_7837771156","7837771156")</f>
        <v>7837771156</v>
      </c>
    </row>
    <row r="121" spans="1:8" x14ac:dyDescent="0.3">
      <c r="A121" s="9" t="s">
        <v>127</v>
      </c>
      <c r="B121" s="1" t="str">
        <f>HYPERLINK("https://www.avito.ru/sankt-peterburg/uslugi/vyvoz_i_priem_metalloloma_samovyvoz_loma_demontazh_7837810979","Вывоз и прием металлолома Самовывоз лома Демонтаж")</f>
        <v>Вывоз и прием металлолома Самовывоз лома Демонтаж</v>
      </c>
      <c r="D121" t="s">
        <v>11</v>
      </c>
      <c r="E121" t="s">
        <v>32</v>
      </c>
      <c r="F121" s="14" t="s">
        <v>130</v>
      </c>
      <c r="G121" s="8" t="s">
        <v>14</v>
      </c>
      <c r="H121" s="8" t="str">
        <f>HYPERLINK("https://www.avito.ru/sankt-peterburg/uslugi/vyvoz_i_priem_metalloloma_samovyvoz_loma_demontazh_7837810979","7837810979")</f>
        <v>7837810979</v>
      </c>
    </row>
    <row r="122" spans="1:8" x14ac:dyDescent="0.3">
      <c r="A122" s="9" t="s">
        <v>127</v>
      </c>
      <c r="B122" s="1" t="str">
        <f>HYPERLINK("https://www.avito.ru/sankt-peterburg/uslugi/sdat_lom_tsirkoniyapriem_tsirkoniyapriem_loma_7837861563","Сдать лом циркония/прием циркония/прием лома")</f>
        <v>Сдать лом циркония/прием циркония/прием лома</v>
      </c>
      <c r="D122" t="s">
        <v>11</v>
      </c>
      <c r="E122" t="s">
        <v>62</v>
      </c>
      <c r="F122" s="14" t="s">
        <v>129</v>
      </c>
      <c r="G122" s="8" t="s">
        <v>24</v>
      </c>
      <c r="H122" s="8" t="str">
        <f>HYPERLINK("https://www.avito.ru/sankt-peterburg/uslugi/sdat_lom_tsirkoniyapriem_tsirkoniyapriem_loma_7837861563","7837861563")</f>
        <v>7837861563</v>
      </c>
    </row>
    <row r="123" spans="1:8" x14ac:dyDescent="0.3">
      <c r="A123" s="9" t="s">
        <v>127</v>
      </c>
      <c r="B123" s="1" t="str">
        <f>HYPERLINK("https://www.avito.ru/sankt-peterburg/uslugi/sdat_struzhku_volframasdat_volfram_7837884228","Сдать стружку Вольфрама/сдать вольфрам")</f>
        <v>Сдать стружку Вольфрама/сдать вольфрам</v>
      </c>
      <c r="D123" t="s">
        <v>11</v>
      </c>
      <c r="E123" t="s">
        <v>62</v>
      </c>
      <c r="F123" s="14" t="s">
        <v>129</v>
      </c>
      <c r="G123" s="8" t="s">
        <v>24</v>
      </c>
      <c r="H123" s="8" t="str">
        <f>HYPERLINK("https://www.avito.ru/sankt-peterburg/uslugi/sdat_struzhku_volframasdat_volfram_7837884228","7837884228")</f>
        <v>7837884228</v>
      </c>
    </row>
    <row r="124" spans="1:8" x14ac:dyDescent="0.3">
      <c r="A124" s="9" t="s">
        <v>127</v>
      </c>
      <c r="B124" s="1" t="str">
        <f>HYPERLINK("https://www.avito.ru/sankt-peterburg/uslugi/skupka_loma_volframasdat_volfram_7837889509","Скупка лома Вольфрама/сдать вольфрам")</f>
        <v>Скупка лома Вольфрама/сдать вольфрам</v>
      </c>
      <c r="D124" t="s">
        <v>11</v>
      </c>
      <c r="E124" t="s">
        <v>23</v>
      </c>
      <c r="F124" s="14" t="s">
        <v>129</v>
      </c>
      <c r="G124" s="8" t="s">
        <v>24</v>
      </c>
      <c r="H124" s="8" t="str">
        <f>HYPERLINK("https://www.avito.ru/sankt-peterburg/uslugi/skupka_loma_volframasdat_volfram_7837889509","7837889509")</f>
        <v>7837889509</v>
      </c>
    </row>
    <row r="125" spans="1:8" x14ac:dyDescent="0.3">
      <c r="A125" s="9" t="s">
        <v>127</v>
      </c>
      <c r="B125" s="1" t="str">
        <f>HYPERLINK("https://www.avito.ru/sankt-peterburg/uslugi/sdat_lom_titanapriem_titanapriem_loma_7837891840","Сдать лом титана/прием титана/прием лома")</f>
        <v>Сдать лом титана/прием титана/прием лома</v>
      </c>
      <c r="D125" t="s">
        <v>11</v>
      </c>
      <c r="E125" t="s">
        <v>23</v>
      </c>
      <c r="F125" s="14" t="s">
        <v>129</v>
      </c>
      <c r="G125" s="8" t="s">
        <v>24</v>
      </c>
      <c r="H125" s="8" t="str">
        <f>HYPERLINK("https://www.avito.ru/sankt-peterburg/uslugi/sdat_lom_titanapriem_titanapriem_loma_7837891840","7837891840")</f>
        <v>7837891840</v>
      </c>
    </row>
    <row r="126" spans="1:8" x14ac:dyDescent="0.3">
      <c r="A126" s="9" t="s">
        <v>127</v>
      </c>
      <c r="B126" s="1" t="str">
        <f>HYPERLINK("https://www.avito.ru/sankt-peterburg/uslugi/sdat_reztsy_vktk_s_naplavkamipriem_loma_7837901257","Сдать резцы вктк с наплавками/прием лома")</f>
        <v>Сдать резцы вктк с наплавками/прием лома</v>
      </c>
      <c r="D126" t="s">
        <v>11</v>
      </c>
      <c r="E126" t="s">
        <v>23</v>
      </c>
      <c r="F126" s="14" t="s">
        <v>129</v>
      </c>
      <c r="G126" s="8" t="s">
        <v>24</v>
      </c>
      <c r="H126" s="8" t="str">
        <f>HYPERLINK("https://www.avito.ru/sankt-peterburg/uslugi/sdat_reztsy_vktk_s_naplavkamipriem_loma_7837901257","7837901257")</f>
        <v>7837901257</v>
      </c>
    </row>
    <row r="127" spans="1:8" x14ac:dyDescent="0.3">
      <c r="A127" s="9" t="s">
        <v>127</v>
      </c>
      <c r="B127" s="1" t="str">
        <f>HYPERLINK("https://www.avito.ru/pskov/uslugi/priem_i_vyvoz_metalloloma_spb_i_lo_7868930643","Прием и вывоз металлолома СПБ и ло")</f>
        <v>Прием и вывоз металлолома СПБ и ло</v>
      </c>
      <c r="C127" t="s">
        <v>36</v>
      </c>
      <c r="D127" t="s">
        <v>37</v>
      </c>
      <c r="E127" t="s">
        <v>38</v>
      </c>
      <c r="F127" s="14" t="s">
        <v>130</v>
      </c>
      <c r="G127" s="8" t="s">
        <v>14</v>
      </c>
      <c r="H127" s="8" t="str">
        <f>HYPERLINK("https://www.avito.ru/pskov/uslugi/priem_i_vyvoz_metalloloma_spb_i_lo_7868930643","7868930643")</f>
        <v>7868930643</v>
      </c>
    </row>
    <row r="128" spans="1:8" x14ac:dyDescent="0.3">
      <c r="A128" s="9" t="s">
        <v>127</v>
      </c>
      <c r="B128" s="1" t="str">
        <f>HYPERLINK("https://www.avito.ru/sankt-peterburg/uslugi/sdat_chermet_priem_vyvoz_metalloloma_7868969238","Сдать чермет Прием Вывоз металлолома")</f>
        <v>Сдать чермет Прием Вывоз металлолома</v>
      </c>
      <c r="D128" t="s">
        <v>11</v>
      </c>
      <c r="E128" t="s">
        <v>32</v>
      </c>
      <c r="F128" s="14" t="s">
        <v>130</v>
      </c>
      <c r="G128" s="8" t="s">
        <v>14</v>
      </c>
      <c r="H128" s="8" t="str">
        <f>HYPERLINK("https://www.avito.ru/sankt-peterburg/uslugi/sdat_chermet_priem_vyvoz_metalloloma_7868969238","7868969238")</f>
        <v>7868969238</v>
      </c>
    </row>
    <row r="129" spans="1:8" x14ac:dyDescent="0.3">
      <c r="A129" s="9" t="s">
        <v>127</v>
      </c>
      <c r="B129" s="1" t="str">
        <f>HYPERLINK("https://www.avito.ru/vologda/uslugi/priem_metalloloma_vyvoz_metalloloma_demontazh_7869024487","Прием металлолома / вывоз металлолома / демонтаж")</f>
        <v>Прием металлолома / вывоз металлолома / демонтаж</v>
      </c>
      <c r="C129" t="s">
        <v>39</v>
      </c>
      <c r="D129" t="s">
        <v>40</v>
      </c>
      <c r="E129" t="s">
        <v>41</v>
      </c>
      <c r="F129" s="14" t="s">
        <v>130</v>
      </c>
      <c r="G129" s="8" t="s">
        <v>14</v>
      </c>
      <c r="H129" s="8" t="str">
        <f>HYPERLINK("https://www.avito.ru/vologda/uslugi/priem_metalloloma_vyvoz_metalloloma_demontazh_7869024487","7869024487")</f>
        <v>7869024487</v>
      </c>
    </row>
    <row r="130" spans="1:8" x14ac:dyDescent="0.3">
      <c r="A130" s="9" t="s">
        <v>127</v>
      </c>
      <c r="B130" s="1" t="str">
        <f>HYPERLINK("https://www.avito.ru/vologda/uslugi/priem_i_vyvoz_metalloloma_spb_i_lo_7869146890","Прием и вывоз металлолома СПБ и ло")</f>
        <v>Прием и вывоз металлолома СПБ и ло</v>
      </c>
      <c r="C130" t="s">
        <v>39</v>
      </c>
      <c r="D130" t="s">
        <v>40</v>
      </c>
      <c r="E130" t="s">
        <v>41</v>
      </c>
      <c r="F130" s="14" t="s">
        <v>130</v>
      </c>
      <c r="G130" s="8" t="s">
        <v>14</v>
      </c>
      <c r="H130" s="8" t="str">
        <f>HYPERLINK("https://www.avito.ru/vologda/uslugi/priem_i_vyvoz_metalloloma_spb_i_lo_7869146890","7869146890")</f>
        <v>7869146890</v>
      </c>
    </row>
    <row r="131" spans="1:8" x14ac:dyDescent="0.3">
      <c r="A131" s="9" t="s">
        <v>127</v>
      </c>
      <c r="B131" s="1" t="str">
        <f>HYPERLINK("https://www.avito.ru/pskov/uslugi/priem_metalloloma_vyvoz_metalloloma_demontazh_7869154448","Прием металлолома / вывоз металлолома / демонтаж")</f>
        <v>Прием металлолома / вывоз металлолома / демонтаж</v>
      </c>
      <c r="C131" t="s">
        <v>36</v>
      </c>
      <c r="D131" t="s">
        <v>37</v>
      </c>
      <c r="E131" t="s">
        <v>38</v>
      </c>
      <c r="F131" s="14" t="s">
        <v>130</v>
      </c>
      <c r="G131" s="8" t="s">
        <v>14</v>
      </c>
      <c r="H131" s="8" t="str">
        <f>HYPERLINK("https://www.avito.ru/pskov/uslugi/priem_metalloloma_vyvoz_metalloloma_demontazh_7869154448","7869154448")</f>
        <v>7869154448</v>
      </c>
    </row>
    <row r="132" spans="1:8" x14ac:dyDescent="0.3">
      <c r="A132" s="9" t="s">
        <v>127</v>
      </c>
      <c r="B132" s="1" t="str">
        <f>HYPERLINK("https://www.avito.ru/cherepovets/uslugi/priem_tsvetnogo_metalloloma_7869225639","Прием цветного металлолома")</f>
        <v>Прием цветного металлолома</v>
      </c>
      <c r="C132" t="s">
        <v>39</v>
      </c>
      <c r="D132" t="s">
        <v>46</v>
      </c>
      <c r="E132" t="s">
        <v>47</v>
      </c>
      <c r="F132" s="14" t="s">
        <v>130</v>
      </c>
      <c r="G132" s="8" t="s">
        <v>14</v>
      </c>
      <c r="H132" s="8" t="str">
        <f>HYPERLINK("https://www.avito.ru/cherepovets/uslugi/priem_tsvetnogo_metalloloma_7869225639","7869225639")</f>
        <v>7869225639</v>
      </c>
    </row>
    <row r="133" spans="1:8" x14ac:dyDescent="0.3">
      <c r="A133" s="9" t="s">
        <v>127</v>
      </c>
      <c r="B133" s="1" t="str">
        <f>HYPERLINK("https://www.avito.ru/sankt-peterburg/uslugi/priem_provodov._skupka_kabelya_provodov_7869241067","Прием проводов. Скупка кабеля проводов")</f>
        <v>Прием проводов. Скупка кабеля проводов</v>
      </c>
      <c r="D133" t="s">
        <v>11</v>
      </c>
      <c r="E133" t="s">
        <v>113</v>
      </c>
      <c r="F133" s="14" t="s">
        <v>130</v>
      </c>
      <c r="G133" s="8" t="s">
        <v>14</v>
      </c>
      <c r="H133" s="8" t="str">
        <f>HYPERLINK("https://www.avito.ru/sankt-peterburg/uslugi/priem_provodov._skupka_kabelya_provodov_7869241067","7869241067")</f>
        <v>7869241067</v>
      </c>
    </row>
    <row r="134" spans="1:8" x14ac:dyDescent="0.3">
      <c r="A134" s="9" t="s">
        <v>127</v>
      </c>
      <c r="B134" s="1" t="str">
        <f>HYPERLINK("https://www.avito.ru/vologda/uslugi/priem_i_vyvoz_metalloloma_7869259759","Прием и вывоз металлолома")</f>
        <v>Прием и вывоз металлолома</v>
      </c>
      <c r="C134" t="s">
        <v>39</v>
      </c>
      <c r="D134" t="s">
        <v>40</v>
      </c>
      <c r="E134" t="s">
        <v>41</v>
      </c>
      <c r="F134" s="14" t="s">
        <v>130</v>
      </c>
      <c r="G134" s="8" t="s">
        <v>14</v>
      </c>
      <c r="H134" s="8" t="str">
        <f>HYPERLINK("https://www.avito.ru/vologda/uslugi/priem_i_vyvoz_metalloloma_7869259759","7869259759")</f>
        <v>7869259759</v>
      </c>
    </row>
    <row r="135" spans="1:8" x14ac:dyDescent="0.3">
      <c r="A135" s="9" t="s">
        <v>127</v>
      </c>
      <c r="B135" s="1" t="str">
        <f>HYPERLINK("https://www.avito.ru/sankt-peterburg/uslugi/priem_provodov._skupka_7869339176","Прием проводов. Скупка")</f>
        <v>Прием проводов. Скупка</v>
      </c>
      <c r="D135" t="s">
        <v>11</v>
      </c>
      <c r="E135" t="s">
        <v>64</v>
      </c>
      <c r="F135" s="14" t="s">
        <v>130</v>
      </c>
      <c r="G135" s="8" t="s">
        <v>14</v>
      </c>
      <c r="H135" s="8" t="str">
        <f>HYPERLINK("https://www.avito.ru/sankt-peterburg/uslugi/priem_provodov._skupka_7869339176","7869339176")</f>
        <v>7869339176</v>
      </c>
    </row>
    <row r="136" spans="1:8" x14ac:dyDescent="0.3">
      <c r="A136" s="9" t="s">
        <v>127</v>
      </c>
      <c r="B136" s="1" t="str">
        <f>HYPERLINK("https://www.avito.ru/sankt-peterburg/uslugi/priem_kabelya_skupka_kabelya_provodov_7869349435","Прием кабеля Скупка кабеля проводов")</f>
        <v>Прием кабеля Скупка кабеля проводов</v>
      </c>
      <c r="D136" t="s">
        <v>11</v>
      </c>
      <c r="E136" t="s">
        <v>114</v>
      </c>
      <c r="F136" s="14" t="s">
        <v>130</v>
      </c>
      <c r="G136" s="8" t="s">
        <v>14</v>
      </c>
      <c r="H136" s="8" t="str">
        <f>HYPERLINK("https://www.avito.ru/sankt-peterburg/uslugi/priem_kabelya_skupka_kabelya_provodov_7869349435","7869349435")</f>
        <v>7869349435</v>
      </c>
    </row>
    <row r="137" spans="1:8" x14ac:dyDescent="0.3">
      <c r="A137" s="9" t="s">
        <v>127</v>
      </c>
      <c r="B137" s="1" t="str">
        <f>HYPERLINK("https://www.avito.ru/sankt-peterburg/uslugi/priem_tsvetnogo_metalloloma_7869389947","Прием цветного металлолома")</f>
        <v>Прием цветного металлолома</v>
      </c>
      <c r="D137" t="s">
        <v>11</v>
      </c>
      <c r="E137" t="s">
        <v>115</v>
      </c>
      <c r="F137" s="14" t="s">
        <v>130</v>
      </c>
      <c r="G137" s="8" t="s">
        <v>14</v>
      </c>
      <c r="H137" s="8" t="str">
        <f>HYPERLINK("https://www.avito.ru/sankt-peterburg/uslugi/priem_tsvetnogo_metalloloma_7869389947","7869389947")</f>
        <v>7869389947</v>
      </c>
    </row>
    <row r="138" spans="1:8" x14ac:dyDescent="0.3">
      <c r="A138" s="9" t="s">
        <v>127</v>
      </c>
      <c r="B138" s="1" t="str">
        <f>HYPERLINK("https://www.avito.ru/pskov/uslugi/priem_i_vyvoz_metalloloma_7869424429","Прием и вывоз металлолома")</f>
        <v>Прием и вывоз металлолома</v>
      </c>
      <c r="C138" t="s">
        <v>36</v>
      </c>
      <c r="D138" t="s">
        <v>37</v>
      </c>
      <c r="E138" t="s">
        <v>38</v>
      </c>
      <c r="F138" s="14" t="s">
        <v>130</v>
      </c>
      <c r="G138" s="8" t="s">
        <v>14</v>
      </c>
      <c r="H138" s="8" t="str">
        <f>HYPERLINK("https://www.avito.ru/pskov/uslugi/priem_i_vyvoz_metalloloma_7869424429","7869424429")</f>
        <v>7869424429</v>
      </c>
    </row>
    <row r="139" spans="1:8" x14ac:dyDescent="0.3">
      <c r="A139" s="9" t="s">
        <v>127</v>
      </c>
      <c r="B139" s="1" t="str">
        <f>HYPERLINK("https://www.avito.ru/velikiy_novgorod/uslugi/priem_tsvetnogo_metalloloma_7869442767","Прием цветного металлолома")</f>
        <v>Прием цветного металлолома</v>
      </c>
      <c r="C139" t="s">
        <v>29</v>
      </c>
      <c r="D139" t="s">
        <v>30</v>
      </c>
      <c r="E139" t="s">
        <v>31</v>
      </c>
      <c r="F139" s="14" t="s">
        <v>130</v>
      </c>
      <c r="G139" s="8" t="s">
        <v>14</v>
      </c>
      <c r="H139" s="8" t="str">
        <f>HYPERLINK("https://www.avito.ru/velikiy_novgorod/uslugi/priem_tsvetnogo_metalloloma_7869442767","7869442767")</f>
        <v>7869442767</v>
      </c>
    </row>
    <row r="140" spans="1:8" x14ac:dyDescent="0.3">
      <c r="A140" s="9" t="s">
        <v>127</v>
      </c>
      <c r="B140" s="1" t="str">
        <f>HYPERLINK("https://www.avito.ru/arhangelsk/uslugi/priem_plat_i_elektronnogo_loma._skupka_plat_7869446806","Прием плат и электронного лома. Скупка плат")</f>
        <v>Прием плат и электронного лома. Скупка плат</v>
      </c>
      <c r="C140" t="s">
        <v>26</v>
      </c>
      <c r="D140" t="s">
        <v>27</v>
      </c>
      <c r="E140" t="s">
        <v>28</v>
      </c>
      <c r="F140" s="14" t="s">
        <v>130</v>
      </c>
      <c r="G140" s="8" t="s">
        <v>14</v>
      </c>
      <c r="H140" s="8" t="str">
        <f>HYPERLINK("https://www.avito.ru/arhangelsk/uslugi/priem_plat_i_elektronnogo_loma._skupka_plat_7869446806","7869446806")</f>
        <v>7869446806</v>
      </c>
    </row>
    <row r="141" spans="1:8" x14ac:dyDescent="0.3">
      <c r="A141" s="9" t="s">
        <v>127</v>
      </c>
      <c r="B141" s="1" t="str">
        <f>HYPERLINK("https://www.avito.ru/pskov/uslugi/priem_i_vyvoz_metalloloma_spb_i_lo_7869497841","Прием и вывоз металлолома СПБ и ло")</f>
        <v>Прием и вывоз металлолома СПБ и ло</v>
      </c>
      <c r="C141" t="s">
        <v>36</v>
      </c>
      <c r="D141" t="s">
        <v>37</v>
      </c>
      <c r="E141" t="s">
        <v>38</v>
      </c>
      <c r="F141" s="14" t="s">
        <v>130</v>
      </c>
      <c r="G141" s="8" t="s">
        <v>14</v>
      </c>
      <c r="H141" s="8" t="str">
        <f>HYPERLINK("https://www.avito.ru/pskov/uslugi/priem_i_vyvoz_metalloloma_spb_i_lo_7869497841","7869497841")</f>
        <v>7869497841</v>
      </c>
    </row>
    <row r="142" spans="1:8" x14ac:dyDescent="0.3">
      <c r="A142" s="9" t="s">
        <v>127</v>
      </c>
      <c r="B142" s="1" t="str">
        <f>HYPERLINK("https://www.avito.ru/vologda/uslugi/priem_tsvetnogo_metalloloma_7869556862","Прием цветного металлолома")</f>
        <v>Прием цветного металлолома</v>
      </c>
      <c r="C142" t="s">
        <v>39</v>
      </c>
      <c r="D142" t="s">
        <v>40</v>
      </c>
      <c r="E142" t="s">
        <v>41</v>
      </c>
      <c r="F142" s="14" t="s">
        <v>130</v>
      </c>
      <c r="G142" s="8" t="s">
        <v>14</v>
      </c>
      <c r="H142" s="8" t="str">
        <f>HYPERLINK("https://www.avito.ru/vologda/uslugi/priem_tsvetnogo_metalloloma_7869556862","7869556862")</f>
        <v>7869556862</v>
      </c>
    </row>
    <row r="143" spans="1:8" x14ac:dyDescent="0.3">
      <c r="A143" s="9" t="s">
        <v>127</v>
      </c>
      <c r="B143" s="1" t="str">
        <f>HYPERLINK("https://www.avito.ru/arhangelsk/uslugi/skupka_metalla._redkozemelnye_metally_7869633170","Скупка металла. Редкоземельные металлы")</f>
        <v>Скупка металла. Редкоземельные металлы</v>
      </c>
      <c r="C143" t="s">
        <v>26</v>
      </c>
      <c r="D143" t="s">
        <v>27</v>
      </c>
      <c r="E143" t="s">
        <v>28</v>
      </c>
      <c r="F143" s="14" t="s">
        <v>130</v>
      </c>
      <c r="G143" s="8" t="s">
        <v>14</v>
      </c>
      <c r="H143" s="8" t="str">
        <f>HYPERLINK("https://www.avito.ru/arhangelsk/uslugi/skupka_metalla._redkozemelnye_metally_7869633170","7869633170")</f>
        <v>7869633170</v>
      </c>
    </row>
    <row r="144" spans="1:8" x14ac:dyDescent="0.3">
      <c r="A144" s="9" t="s">
        <v>127</v>
      </c>
      <c r="B144" s="1" t="str">
        <f>HYPERLINK("https://www.avito.ru/cherepovets/uslugi/skupka_metalla._redkozemelnye_metally_7869635987","Скупка металла. Редкоземельные металлы")</f>
        <v>Скупка металла. Редкоземельные металлы</v>
      </c>
      <c r="C144" t="s">
        <v>39</v>
      </c>
      <c r="D144" t="s">
        <v>46</v>
      </c>
      <c r="E144" t="s">
        <v>47</v>
      </c>
      <c r="F144" s="14" t="s">
        <v>130</v>
      </c>
      <c r="G144" s="8" t="s">
        <v>14</v>
      </c>
      <c r="H144" s="8" t="str">
        <f>HYPERLINK("https://www.avito.ru/cherepovets/uslugi/skupka_metalla._redkozemelnye_metally_7869635987","7869635987")</f>
        <v>7869635987</v>
      </c>
    </row>
    <row r="145" spans="1:8" x14ac:dyDescent="0.3">
      <c r="A145" s="9" t="s">
        <v>127</v>
      </c>
      <c r="B145" s="1" t="str">
        <f>HYPERLINK("https://www.avito.ru/vologda/uslugi/priem_i_vyvoz_metalloloma_spb_i_lo_7869662808","Прием и вывоз металлолома СПБ и ло")</f>
        <v>Прием и вывоз металлолома СПБ и ло</v>
      </c>
      <c r="C145" t="s">
        <v>39</v>
      </c>
      <c r="D145" t="s">
        <v>40</v>
      </c>
      <c r="E145" t="s">
        <v>41</v>
      </c>
      <c r="F145" s="14" t="s">
        <v>130</v>
      </c>
      <c r="G145" s="8" t="s">
        <v>14</v>
      </c>
      <c r="H145" s="8" t="str">
        <f>HYPERLINK("https://www.avito.ru/vologda/uslugi/priem_i_vyvoz_metalloloma_spb_i_lo_7869662808","7869662808")</f>
        <v>7869662808</v>
      </c>
    </row>
    <row r="146" spans="1:8" x14ac:dyDescent="0.3">
      <c r="A146" s="9" t="s">
        <v>127</v>
      </c>
      <c r="B146" s="1" t="str">
        <f>HYPERLINK("https://www.avito.ru/pskov/uslugi/priem_tsvetnogo_metalloloma_7869666146","Прием цветного металлолома")</f>
        <v>Прием цветного металлолома</v>
      </c>
      <c r="C146" t="s">
        <v>36</v>
      </c>
      <c r="D146" t="s">
        <v>37</v>
      </c>
      <c r="E146" t="s">
        <v>38</v>
      </c>
      <c r="F146" s="14" t="s">
        <v>130</v>
      </c>
      <c r="G146" s="8" t="s">
        <v>14</v>
      </c>
      <c r="H146" s="8" t="str">
        <f>HYPERLINK("https://www.avito.ru/pskov/uslugi/priem_tsvetnogo_metalloloma_7869666146","7869666146")</f>
        <v>7869666146</v>
      </c>
    </row>
    <row r="147" spans="1:8" x14ac:dyDescent="0.3">
      <c r="A147" s="9" t="s">
        <v>127</v>
      </c>
      <c r="B147" s="1" t="str">
        <f>HYPERLINK("https://www.avito.ru/vologda/uslugi/skupka_metalla._redkozemelnye_metally_7869690627","Скупка металла. Редкоземельные металлы")</f>
        <v>Скупка металла. Редкоземельные металлы</v>
      </c>
      <c r="C147" t="s">
        <v>39</v>
      </c>
      <c r="D147" t="s">
        <v>40</v>
      </c>
      <c r="E147" t="s">
        <v>41</v>
      </c>
      <c r="F147" s="14" t="s">
        <v>130</v>
      </c>
      <c r="G147" s="8" t="s">
        <v>14</v>
      </c>
      <c r="H147" s="8" t="str">
        <f>HYPERLINK("https://www.avito.ru/vologda/uslugi/skupka_metalla._redkozemelnye_metally_7869690627","7869690627")</f>
        <v>7869690627</v>
      </c>
    </row>
    <row r="148" spans="1:8" x14ac:dyDescent="0.3">
      <c r="A148" s="9" t="s">
        <v>127</v>
      </c>
      <c r="B148" s="1" t="str">
        <f>HYPERLINK("https://www.avito.ru/velikiy_novgorod/uslugi/priem_provodov._skupka_7869711196","Прием проводов. Скупка")</f>
        <v>Прием проводов. Скупка</v>
      </c>
      <c r="C148" t="s">
        <v>29</v>
      </c>
      <c r="D148" t="s">
        <v>30</v>
      </c>
      <c r="E148" t="s">
        <v>31</v>
      </c>
      <c r="F148" s="14" t="s">
        <v>130</v>
      </c>
      <c r="G148" s="8" t="s">
        <v>14</v>
      </c>
      <c r="H148" s="8" t="str">
        <f>HYPERLINK("https://www.avito.ru/velikiy_novgorod/uslugi/priem_provodov._skupka_7869711196","7869711196")</f>
        <v>7869711196</v>
      </c>
    </row>
    <row r="149" spans="1:8" x14ac:dyDescent="0.3">
      <c r="A149" s="9" t="s">
        <v>127</v>
      </c>
      <c r="B149" s="1" t="str">
        <f>HYPERLINK("https://www.avito.ru/novoe_devyatkino/uslugi/priem_provodov._skupka_7869745845","Прием проводов. Скупка")</f>
        <v>Прием проводов. Скупка</v>
      </c>
      <c r="C149" t="s">
        <v>52</v>
      </c>
      <c r="D149" t="s">
        <v>98</v>
      </c>
      <c r="E149" t="s">
        <v>99</v>
      </c>
      <c r="F149" s="14" t="s">
        <v>130</v>
      </c>
      <c r="G149" s="8" t="s">
        <v>14</v>
      </c>
      <c r="H149" s="8" t="str">
        <f>HYPERLINK("https://www.avito.ru/novoe_devyatkino/uslugi/priem_provodov._skupka_7869745845","7869745845")</f>
        <v>7869745845</v>
      </c>
    </row>
    <row r="150" spans="1:8" x14ac:dyDescent="0.3">
      <c r="A150" s="9" t="s">
        <v>127</v>
      </c>
      <c r="B150" s="1" t="str">
        <f>HYPERLINK("https://www.avito.ru/pskov/uslugi/skupka_metalla._redkozemelnye_metally_7869756106","Скупка металла. Редкоземельные металлы")</f>
        <v>Скупка металла. Редкоземельные металлы</v>
      </c>
      <c r="C150" t="s">
        <v>36</v>
      </c>
      <c r="D150" t="s">
        <v>37</v>
      </c>
      <c r="E150" t="s">
        <v>38</v>
      </c>
      <c r="F150" s="14" t="s">
        <v>130</v>
      </c>
      <c r="G150" s="8" t="s">
        <v>14</v>
      </c>
      <c r="H150" s="8" t="str">
        <f>HYPERLINK("https://www.avito.ru/pskov/uslugi/skupka_metalla._redkozemelnye_metally_7869756106","7869756106")</f>
        <v>7869756106</v>
      </c>
    </row>
    <row r="151" spans="1:8" x14ac:dyDescent="0.3">
      <c r="A151" s="9" t="s">
        <v>127</v>
      </c>
      <c r="B151" s="1" t="str">
        <f>HYPERLINK("https://www.avito.ru/vologda/uslugi/priem_tsvetnogo_metalloloma_7869795358","Прием цветного металлолома")</f>
        <v>Прием цветного металлолома</v>
      </c>
      <c r="C151" t="s">
        <v>39</v>
      </c>
      <c r="D151" t="s">
        <v>40</v>
      </c>
      <c r="E151" t="s">
        <v>41</v>
      </c>
      <c r="F151" s="14" t="s">
        <v>130</v>
      </c>
      <c r="G151" s="8" t="s">
        <v>14</v>
      </c>
      <c r="H151" s="8" t="str">
        <f>HYPERLINK("https://www.avito.ru/vologda/uslugi/priem_tsvetnogo_metalloloma_7869795358","7869795358")</f>
        <v>7869795358</v>
      </c>
    </row>
    <row r="152" spans="1:8" x14ac:dyDescent="0.3">
      <c r="A152" s="9" t="s">
        <v>127</v>
      </c>
      <c r="B152" s="1" t="str">
        <f>HYPERLINK("https://www.avito.ru/vologda/uslugi/priem_provodov._skupka_7869866104","Прием проводов. Скупка")</f>
        <v>Прием проводов. Скупка</v>
      </c>
      <c r="C152" t="s">
        <v>39</v>
      </c>
      <c r="D152" t="s">
        <v>40</v>
      </c>
      <c r="E152" t="s">
        <v>41</v>
      </c>
      <c r="F152" s="14" t="s">
        <v>130</v>
      </c>
      <c r="G152" s="8" t="s">
        <v>14</v>
      </c>
      <c r="H152" s="8" t="str">
        <f>HYPERLINK("https://www.avito.ru/vologda/uslugi/priem_provodov._skupka_7869866104","7869866104")</f>
        <v>7869866104</v>
      </c>
    </row>
    <row r="153" spans="1:8" x14ac:dyDescent="0.3">
      <c r="A153" s="9" t="s">
        <v>127</v>
      </c>
      <c r="B153" s="1" t="str">
        <f>HYPERLINK("https://www.avito.ru/sankt-peterburg/uslugi/priem_provodov_priem_kabelya_skupka_7869887071","Прием проводов Прием кабеля Скупка")</f>
        <v>Прием проводов Прием кабеля Скупка</v>
      </c>
      <c r="D153" t="s">
        <v>11</v>
      </c>
      <c r="E153" t="s">
        <v>113</v>
      </c>
      <c r="F153" s="14" t="s">
        <v>130</v>
      </c>
      <c r="G153" s="8" t="s">
        <v>14</v>
      </c>
      <c r="H153" s="8" t="str">
        <f>HYPERLINK("https://www.avito.ru/sankt-peterburg/uslugi/priem_provodov_priem_kabelya_skupka_7869887071","7869887071")</f>
        <v>7869887071</v>
      </c>
    </row>
    <row r="154" spans="1:8" x14ac:dyDescent="0.3">
      <c r="A154" s="9" t="s">
        <v>127</v>
      </c>
      <c r="B154" s="1" t="str">
        <f>HYPERLINK("https://www.avito.ru/cherepovets/uslugi/priem_provodov._skupka_7869889265","Прием проводов. Скупка")</f>
        <v>Прием проводов. Скупка</v>
      </c>
      <c r="C154" t="s">
        <v>39</v>
      </c>
      <c r="D154" t="s">
        <v>46</v>
      </c>
      <c r="E154" t="s">
        <v>47</v>
      </c>
      <c r="F154" s="14" t="s">
        <v>130</v>
      </c>
      <c r="G154" s="8" t="s">
        <v>14</v>
      </c>
      <c r="H154" s="8" t="str">
        <f>HYPERLINK("https://www.avito.ru/cherepovets/uslugi/priem_provodov._skupka_7869889265","7869889265")</f>
        <v>7869889265</v>
      </c>
    </row>
    <row r="155" spans="1:8" x14ac:dyDescent="0.3">
      <c r="A155" s="9" t="s">
        <v>127</v>
      </c>
      <c r="B155" s="1" t="str">
        <f>HYPERLINK("https://www.avito.ru/velikiy_novgorod/uslugi/skupka_metalla._redkozemelnye_metally_7869890986","Скупка металла. Редкоземельные металлы")</f>
        <v>Скупка металла. Редкоземельные металлы</v>
      </c>
      <c r="C155" t="s">
        <v>29</v>
      </c>
      <c r="D155" t="s">
        <v>30</v>
      </c>
      <c r="E155" t="s">
        <v>31</v>
      </c>
      <c r="F155" s="14" t="s">
        <v>130</v>
      </c>
      <c r="G155" s="8" t="s">
        <v>14</v>
      </c>
      <c r="H155" s="8" t="str">
        <f>HYPERLINK("https://www.avito.ru/velikiy_novgorod/uslugi/skupka_metalla._redkozemelnye_metally_7869890986","7869890986")</f>
        <v>7869890986</v>
      </c>
    </row>
    <row r="156" spans="1:8" x14ac:dyDescent="0.3">
      <c r="A156" s="9" t="s">
        <v>127</v>
      </c>
      <c r="B156" s="1" t="str">
        <f>HYPERLINK("https://www.avito.ru/sankt-peterburg/uslugi/priem_i_vyvoz_kabelya_i_provoda_sdat_kabel_7869891307","Прием и вывоз кабеля и провода Сдать кабель")</f>
        <v>Прием и вывоз кабеля и провода Сдать кабель</v>
      </c>
      <c r="D156" t="s">
        <v>11</v>
      </c>
      <c r="E156" t="s">
        <v>32</v>
      </c>
      <c r="F156" s="14" t="s">
        <v>130</v>
      </c>
      <c r="G156" s="8" t="s">
        <v>14</v>
      </c>
      <c r="H156" s="8" t="str">
        <f>HYPERLINK("https://www.avito.ru/sankt-peterburg/uslugi/priem_i_vyvoz_kabelya_i_provoda_sdat_kabel_7869891307","7869891307")</f>
        <v>7869891307</v>
      </c>
    </row>
    <row r="157" spans="1:8" x14ac:dyDescent="0.3">
      <c r="A157" s="9" t="s">
        <v>127</v>
      </c>
      <c r="B157" s="1" t="str">
        <f>HYPERLINK("https://www.avito.ru/sankt-peterburg/uslugi/spektralnyy_analiz_sostava_metalla_7901077566","Спектральный анализ состава металла")</f>
        <v>Спектральный анализ состава металла</v>
      </c>
      <c r="D157" t="s">
        <v>11</v>
      </c>
      <c r="E157" t="s">
        <v>48</v>
      </c>
      <c r="F157" s="14" t="s">
        <v>130</v>
      </c>
      <c r="G157" s="8" t="s">
        <v>14</v>
      </c>
      <c r="H157" s="8" t="str">
        <f>HYPERLINK("https://www.avito.ru/sankt-peterburg/uslugi/spektralnyy_analiz_sostava_metalla_7901077566","7901077566")</f>
        <v>7901077566</v>
      </c>
    </row>
    <row r="158" spans="1:8" x14ac:dyDescent="0.3">
      <c r="A158" s="9" t="s">
        <v>127</v>
      </c>
      <c r="B158" s="1" t="str">
        <f>HYPERLINK("https://www.avito.ru/sankt-peterburg/uslugi/demontazh_i_rezka_metallokonstruktsiy_sdat_metall_7901199251","Демонтаж и резка металлоконструкций Сдать металл")</f>
        <v>Демонтаж и резка металлоконструкций Сдать металл</v>
      </c>
      <c r="D158" t="s">
        <v>11</v>
      </c>
      <c r="E158" t="s">
        <v>11</v>
      </c>
      <c r="F158" s="14" t="s">
        <v>130</v>
      </c>
      <c r="G158" s="8" t="s">
        <v>14</v>
      </c>
      <c r="H158" s="8" t="str">
        <f>HYPERLINK("https://www.avito.ru/sankt-peterburg/uslugi/demontazh_i_rezka_metallokonstruktsiy_sdat_metall_7901199251","7901199251")</f>
        <v>7901199251</v>
      </c>
    </row>
    <row r="159" spans="1:8" x14ac:dyDescent="0.3">
      <c r="A159" s="9" t="s">
        <v>127</v>
      </c>
      <c r="B159" s="1" t="str">
        <f>HYPERLINK("https://www.avito.ru/sankt-peterburg/uslugi/priem_metalloloma_vyvoz_metalloloma_demontazh_7901275111","Прием металлолома / Вывоз металлолома / Демонтаж")</f>
        <v>Прием металлолома / Вывоз металлолома / Демонтаж</v>
      </c>
      <c r="D159" t="s">
        <v>11</v>
      </c>
      <c r="E159" t="s">
        <v>62</v>
      </c>
      <c r="F159" s="14" t="s">
        <v>130</v>
      </c>
      <c r="G159" s="8" t="s">
        <v>14</v>
      </c>
      <c r="H159" s="8" t="str">
        <f>HYPERLINK("https://www.avito.ru/sankt-peterburg/uslugi/priem_metalloloma_vyvoz_metalloloma_demontazh_7901275111","7901275111")</f>
        <v>7901275111</v>
      </c>
    </row>
    <row r="160" spans="1:8" x14ac:dyDescent="0.3">
      <c r="A160" s="9" t="s">
        <v>127</v>
      </c>
      <c r="B160" s="1" t="str">
        <f>HYPERLINK("https://www.avito.ru/sankt-peterburg/uslugi/priem_metalloloma_vyvoz_metalloloma_demontazh_7901511529","Прием металлолома / Вывоз металлолома / Демонтаж")</f>
        <v>Прием металлолома / Вывоз металлолома / Демонтаж</v>
      </c>
      <c r="D160" t="s">
        <v>11</v>
      </c>
      <c r="E160" t="s">
        <v>116</v>
      </c>
      <c r="F160" s="14" t="s">
        <v>130</v>
      </c>
      <c r="G160" s="8" t="s">
        <v>14</v>
      </c>
      <c r="H160" s="8" t="str">
        <f>HYPERLINK("https://www.avito.ru/sankt-peterburg/uslugi/priem_metalloloma_vyvoz_metalloloma_demontazh_7901511529","7901511529")</f>
        <v>7901511529</v>
      </c>
    </row>
    <row r="161" spans="1:8" x14ac:dyDescent="0.3">
      <c r="A161" s="9" t="s">
        <v>127</v>
      </c>
      <c r="B161" s="1" t="str">
        <f>HYPERLINK("https://www.avito.ru/sankt-peterburg/uslugi/priem_metalloloma_vyvoz_metalloloma_demontazh_7901863406","Прием металлолома / вывоз металлолома / демонтаж")</f>
        <v>Прием металлолома / вывоз металлолома / демонтаж</v>
      </c>
      <c r="D161" t="s">
        <v>11</v>
      </c>
      <c r="E161" t="s">
        <v>51</v>
      </c>
      <c r="F161" s="14" t="s">
        <v>130</v>
      </c>
      <c r="G161" s="8" t="s">
        <v>14</v>
      </c>
      <c r="H161" s="8" t="str">
        <f>HYPERLINK("https://www.avito.ru/sankt-peterburg/uslugi/priem_metalloloma_vyvoz_metalloloma_demontazh_7901863406","7901863406")</f>
        <v>7901863406</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DE60E-00E8-42EF-B498-9B7C89A0716A}">
  <dimension ref="A1:E176"/>
  <sheetViews>
    <sheetView workbookViewId="0">
      <selection activeCell="B1" sqref="B1:B1048576"/>
    </sheetView>
  </sheetViews>
  <sheetFormatPr defaultRowHeight="14.4" x14ac:dyDescent="0.3"/>
  <cols>
    <col min="1" max="1" width="18.33203125" customWidth="1"/>
    <col min="2" max="2" width="18.44140625" customWidth="1"/>
    <col min="3" max="3" width="57.33203125" customWidth="1"/>
    <col min="4" max="4" width="36.5546875" customWidth="1"/>
    <col min="5" max="5" width="19.33203125" customWidth="1"/>
  </cols>
  <sheetData>
    <row r="1" spans="1:5" x14ac:dyDescent="0.3">
      <c r="A1" s="13" t="s">
        <v>121</v>
      </c>
      <c r="B1" s="16" t="s">
        <v>128</v>
      </c>
      <c r="C1" s="13" t="s">
        <v>122</v>
      </c>
      <c r="D1" s="13" t="s">
        <v>2</v>
      </c>
      <c r="E1" s="13" t="s">
        <v>126</v>
      </c>
    </row>
    <row r="2" spans="1:5" x14ac:dyDescent="0.3">
      <c r="A2" s="9" t="s">
        <v>127</v>
      </c>
      <c r="B2" s="17" t="s">
        <v>131</v>
      </c>
      <c r="C2" s="1" t="str">
        <f>HYPERLINK("https://www.avito.ru/sankt-peterburg/uslugi/priem_metalloloma_vyvoz_metalloloma_demontazh_7805824719","Прием металлолома / вывоз металлолома / демонтаж")</f>
        <v>Прием металлолома / вывоз металлолома / демонтаж</v>
      </c>
      <c r="D2" t="s">
        <v>22</v>
      </c>
      <c r="E2" s="8" t="str">
        <f>HYPERLINK("https://www.avito.ru/sankt-peterburg/uslugi/priem_metalloloma_vyvoz_metalloloma_demontazh_7805824719","7805824719")</f>
        <v>7805824719</v>
      </c>
    </row>
    <row r="3" spans="1:5" x14ac:dyDescent="0.3">
      <c r="A3" s="9" t="s">
        <v>127</v>
      </c>
      <c r="B3" s="17" t="s">
        <v>131</v>
      </c>
      <c r="C3" s="1" t="str">
        <f>HYPERLINK("https://www.avito.ru/sankt-peterburg/uslugi/skupka_i_vyvoz_metalloloma_v_spb_i_lo_s_demontazhem_7805608788","Скупка и вывоз металлолома в СПб и ло с демонтажем")</f>
        <v>Скупка и вывоз металлолома в СПб и ло с демонтажем</v>
      </c>
      <c r="D3" t="s">
        <v>15</v>
      </c>
      <c r="E3" s="8" t="str">
        <f>HYPERLINK("https://www.avito.ru/sankt-peterburg/uslugi/skupka_i_vyvoz_metalloloma_v_spb_i_lo_s_demontazhem_7805608788","7805608788")</f>
        <v>7805608788</v>
      </c>
    </row>
    <row r="4" spans="1:5" x14ac:dyDescent="0.3">
      <c r="A4" s="9" t="s">
        <v>127</v>
      </c>
      <c r="B4" s="17" t="s">
        <v>134</v>
      </c>
      <c r="C4" s="1" t="str">
        <f>HYPERLINK("https://www.avito.ru/sankt-peterburg/uslugi/sdat_staryy_akkumulyator._priem_akkumulyatorov_7805642809","Сдать старый аккумулятор. Приём аккумуляторов")</f>
        <v>Сдать старый аккумулятор. Приём аккумуляторов</v>
      </c>
      <c r="D4" t="s">
        <v>12</v>
      </c>
      <c r="E4" s="8" t="str">
        <f>HYPERLINK("https://www.avito.ru/sankt-peterburg/uslugi/sdat_staryy_akkumulyator._priem_akkumulyatorov_7805642809","7805642809")</f>
        <v>7805642809</v>
      </c>
    </row>
    <row r="5" spans="1:5" x14ac:dyDescent="0.3">
      <c r="A5" s="9" t="s">
        <v>127</v>
      </c>
      <c r="B5" s="17" t="s">
        <v>134</v>
      </c>
      <c r="C5" s="1" t="str">
        <f>HYPERLINK("https://www.avito.ru/sankt-peterburg_kolpino/uslugi/sdat_staryy_akkumulyator._priem_akkumulyatorov_7804981231","Сдать старый аккумулятор. Приём аккумуляторов")</f>
        <v>Сдать старый аккумулятор. Приём аккумуляторов</v>
      </c>
      <c r="D5" t="s">
        <v>21</v>
      </c>
      <c r="E5" s="8" t="str">
        <f>HYPERLINK("https://www.avito.ru/sankt-peterburg_kolpino/uslugi/sdat_staryy_akkumulyator._priem_akkumulyatorov_7804981231","7804981231")</f>
        <v>7804981231</v>
      </c>
    </row>
    <row r="6" spans="1:5" x14ac:dyDescent="0.3">
      <c r="A6" s="9" t="s">
        <v>127</v>
      </c>
      <c r="B6" s="17" t="s">
        <v>134</v>
      </c>
      <c r="C6" s="1" t="str">
        <f>HYPERLINK("https://www.avito.ru/petrozavodsk/uslugi/sdat_staryy_akkumulyator._priem_akkumulyatorov_7837417818","Сдать старый аккумулятор. Приём аккумуляторов")</f>
        <v>Сдать старый аккумулятор. Приём аккумуляторов</v>
      </c>
      <c r="D6" t="s">
        <v>18</v>
      </c>
      <c r="E6" s="8" t="str">
        <f>HYPERLINK("https://www.avito.ru/petrozavodsk/uslugi/sdat_staryy_akkumulyator._priem_akkumulyatorov_7837417818","7837417818")</f>
        <v>7837417818</v>
      </c>
    </row>
    <row r="7" spans="1:5" x14ac:dyDescent="0.3">
      <c r="A7" s="9" t="s">
        <v>127</v>
      </c>
      <c r="B7" s="17" t="s">
        <v>131</v>
      </c>
      <c r="C7" s="1" t="str">
        <f>HYPERLINK("https://www.avito.ru/sankt-peterburg/uslugi/priem_metalloloma_vyvoz_metalloloma_demontazh_7805087624","Прием металлолома / Вывоз металлолома / Демонтаж")</f>
        <v>Прием металлолома / Вывоз металлолома / Демонтаж</v>
      </c>
      <c r="D7" t="s">
        <v>34</v>
      </c>
      <c r="E7" s="8" t="str">
        <f>HYPERLINK("https://www.avito.ru/sankt-peterburg/uslugi/priem_metalloloma_vyvoz_metalloloma_demontazh_7805087624","7805087624")</f>
        <v>7805087624</v>
      </c>
    </row>
    <row r="8" spans="1:5" x14ac:dyDescent="0.3">
      <c r="A8" s="9" t="s">
        <v>127</v>
      </c>
      <c r="B8" s="17" t="s">
        <v>134</v>
      </c>
      <c r="C8" s="1" t="str">
        <f>HYPERLINK("https://www.avito.ru/arhangelsk/uslugi/sdat_staryy_akkumulyator._priem_akkumulyatorov_7837068432","Сдать старый аккумулятор. Приём аккумуляторов")</f>
        <v>Сдать старый аккумулятор. Приём аккумуляторов</v>
      </c>
      <c r="D8" t="s">
        <v>28</v>
      </c>
      <c r="E8" s="8" t="str">
        <f>HYPERLINK("https://www.avito.ru/arhangelsk/uslugi/sdat_staryy_akkumulyator._priem_akkumulyatorov_7837068432","7837068432")</f>
        <v>7837068432</v>
      </c>
    </row>
    <row r="9" spans="1:5" x14ac:dyDescent="0.3">
      <c r="A9" s="9" t="s">
        <v>127</v>
      </c>
      <c r="B9" s="15" t="s">
        <v>131</v>
      </c>
      <c r="C9" s="1" t="str">
        <f>HYPERLINK("https://www.avito.ru/sankt-peterburg/uslugi/vyvoz_metalloloma_priem_metalloloma_demontazh_7837394301","Вывоз металлолома / Прием металлолома / демонтаж")</f>
        <v>Вывоз металлолома / Прием металлолома / демонтаж</v>
      </c>
      <c r="D9" t="s">
        <v>22</v>
      </c>
      <c r="E9" s="8" t="str">
        <f>HYPERLINK("https://www.avito.ru/sankt-peterburg/uslugi/vyvoz_metalloloma_priem_metalloloma_demontazh_7837394301","7837394301")</f>
        <v>7837394301</v>
      </c>
    </row>
    <row r="10" spans="1:5" x14ac:dyDescent="0.3">
      <c r="A10" s="9" t="s">
        <v>127</v>
      </c>
      <c r="B10" s="15" t="s">
        <v>131</v>
      </c>
      <c r="C10" s="1" t="str">
        <f>HYPERLINK("https://www.avito.ru/sankt-peterburg/uslugi/priem_i_vyvoz_metalloloma_samovyvoz_loma_demontazh_7837591796","Прием и вывоз металлолома самовывоз лома демонтаж")</f>
        <v>Прием и вывоз металлолома самовывоз лома демонтаж</v>
      </c>
      <c r="D10" t="s">
        <v>61</v>
      </c>
      <c r="E10" s="8" t="str">
        <f>HYPERLINK("https://www.avito.ru/sankt-peterburg/uslugi/priem_i_vyvoz_metalloloma_samovyvoz_loma_demontazh_7837591796","7837591796")</f>
        <v>7837591796</v>
      </c>
    </row>
    <row r="11" spans="1:5" x14ac:dyDescent="0.3">
      <c r="A11" s="9" t="s">
        <v>127</v>
      </c>
      <c r="B11" s="15" t="s">
        <v>132</v>
      </c>
      <c r="C11" s="1" t="str">
        <f>HYPERLINK("https://www.avito.ru/sankt-peterburg/uslugi/sdat_chermet_priem_vyvoz_metalloloma_7869031021","Сдать чермет Прием Вывоз металлолома")</f>
        <v>Сдать чермет Прием Вывоз металлолома</v>
      </c>
      <c r="D11" t="s">
        <v>63</v>
      </c>
      <c r="E11" s="8" t="str">
        <f>HYPERLINK("https://www.avito.ru/sankt-peterburg/uslugi/sdat_chermet_priem_vyvoz_metalloloma_7869031021","7869031021")</f>
        <v>7869031021</v>
      </c>
    </row>
    <row r="12" spans="1:5" x14ac:dyDescent="0.3">
      <c r="A12" s="9" t="s">
        <v>127</v>
      </c>
      <c r="B12" s="15" t="s">
        <v>131</v>
      </c>
      <c r="C12" s="1" t="str">
        <f>HYPERLINK("https://www.avito.ru/sankt-peterburg_kolpino/uslugi/priem_metalloloma_vyvoz_metalloloma_demontazh_7805527338","Прием металлолома / вывоз металлолома / демонтаж")</f>
        <v>Прием металлолома / вывоз металлолома / демонтаж</v>
      </c>
      <c r="D12" t="s">
        <v>21</v>
      </c>
      <c r="E12" s="8" t="str">
        <f>HYPERLINK("https://www.avito.ru/sankt-peterburg_kolpino/uslugi/priem_metalloloma_vyvoz_metalloloma_demontazh_7805527338","7805527338")</f>
        <v>7805527338</v>
      </c>
    </row>
    <row r="13" spans="1:5" x14ac:dyDescent="0.3">
      <c r="A13" s="9" t="s">
        <v>127</v>
      </c>
      <c r="B13" s="15" t="s">
        <v>134</v>
      </c>
      <c r="C13" s="1" t="str">
        <f>HYPERLINK("https://www.avito.ru/cherepovets/uslugi/sdat_staryy_akkumulyator._priem_akkumulyatorov_7836956803","Сдать старый аккумулятор. Приём аккумуляторов")</f>
        <v>Сдать старый аккумулятор. Приём аккумуляторов</v>
      </c>
      <c r="D13" t="s">
        <v>47</v>
      </c>
      <c r="E13" s="8" t="str">
        <f>HYPERLINK("https://www.avito.ru/cherepovets/uslugi/sdat_staryy_akkumulyator._priem_akkumulyatorov_7836956803","7836956803")</f>
        <v>7836956803</v>
      </c>
    </row>
    <row r="14" spans="1:5" x14ac:dyDescent="0.3">
      <c r="A14" s="9" t="s">
        <v>127</v>
      </c>
      <c r="B14" s="17" t="s">
        <v>134</v>
      </c>
      <c r="C14" s="1" t="str">
        <f>HYPERLINK("https://www.avito.ru/velikiy_novgorod/uslugi/sdat_staryy_akkumulyator._priem_akkumulyatorov_7837165224","Сдать старый аккумулятор. Приём аккумуляторов")</f>
        <v>Сдать старый аккумулятор. Приём аккумуляторов</v>
      </c>
      <c r="D14" t="s">
        <v>31</v>
      </c>
      <c r="E14" s="8" t="str">
        <f>HYPERLINK("https://www.avito.ru/velikiy_novgorod/uslugi/sdat_staryy_akkumulyator._priem_akkumulyatorov_7837165224","7837165224")</f>
        <v>7837165224</v>
      </c>
    </row>
    <row r="15" spans="1:5" x14ac:dyDescent="0.3">
      <c r="A15" s="9" t="s">
        <v>127</v>
      </c>
      <c r="B15" s="17" t="s">
        <v>136</v>
      </c>
      <c r="C15" s="1" t="str">
        <f>HYPERLINK("https://www.avito.ru/sankt-peterburg/uslugi/priem_bystrorezhuschey_stalisdat_lom_7837597444","Прием быстрорежущей стали/сдать лом")</f>
        <v>Прием быстрорежущей стали/сдать лом</v>
      </c>
      <c r="D15" t="s">
        <v>23</v>
      </c>
      <c r="E15" s="8" t="str">
        <f>HYPERLINK("https://www.avito.ru/sankt-peterburg/uslugi/priem_bystrorezhuschey_stalisdat_lom_7837597444","7837597444")</f>
        <v>7837597444</v>
      </c>
    </row>
    <row r="16" spans="1:5" x14ac:dyDescent="0.3">
      <c r="A16" s="9" t="s">
        <v>127</v>
      </c>
      <c r="B16" s="15" t="s">
        <v>131</v>
      </c>
      <c r="C16" s="1" t="str">
        <f>HYPERLINK("https://www.avito.ru/sankt-peterburg_pushkin/uslugi/priem_metalloloma_vyvoz_metalloloma_demontazh_7805515572","Прием металлолома / вывоз металлолома / демонтаж")</f>
        <v>Прием металлолома / вывоз металлолома / демонтаж</v>
      </c>
      <c r="D16" t="s">
        <v>43</v>
      </c>
      <c r="E16" s="8" t="str">
        <f>HYPERLINK("https://www.avito.ru/sankt-peterburg_pushkin/uslugi/priem_metalloloma_vyvoz_metalloloma_demontazh_7805515572","7805515572")</f>
        <v>7805515572</v>
      </c>
    </row>
    <row r="17" spans="1:5" x14ac:dyDescent="0.3">
      <c r="A17" s="9" t="s">
        <v>127</v>
      </c>
      <c r="B17" s="17" t="s">
        <v>133</v>
      </c>
      <c r="C17" s="1" t="str">
        <f>HYPERLINK("https://www.avito.ru/sankt-peterburg/uslugi/priem_tsvetnogo_metalla_priem_metalloloma_7836963610","Прием цветного металла Прием металлолома")</f>
        <v>Прием цветного металла Прием металлолома</v>
      </c>
      <c r="D17" t="s">
        <v>112</v>
      </c>
      <c r="E17" s="8" t="str">
        <f>HYPERLINK("https://www.avito.ru/sankt-peterburg/uslugi/priem_tsvetnogo_metalla_priem_metalloloma_7836963610","7836963610")</f>
        <v>7836963610</v>
      </c>
    </row>
    <row r="18" spans="1:5" x14ac:dyDescent="0.3">
      <c r="A18" s="9" t="s">
        <v>127</v>
      </c>
      <c r="B18" s="17" t="s">
        <v>131</v>
      </c>
      <c r="C18" s="1" t="str">
        <f>HYPERLINK("https://www.avito.ru/pskov/uslugi/skupka_i_vyvoz_metalloloma_s_demontazhem_7804999460","Скупка и вывоз металлолома с демонтажем")</f>
        <v>Скупка и вывоз металлолома с демонтажем</v>
      </c>
      <c r="D18" t="s">
        <v>38</v>
      </c>
      <c r="E18" s="8" t="str">
        <f>HYPERLINK("https://www.avito.ru/pskov/uslugi/skupka_i_vyvoz_metalloloma_s_demontazhem_7804999460","7804999460")</f>
        <v>7804999460</v>
      </c>
    </row>
    <row r="19" spans="1:5" x14ac:dyDescent="0.3">
      <c r="A19" s="9" t="s">
        <v>127</v>
      </c>
      <c r="B19" s="17" t="s">
        <v>131</v>
      </c>
      <c r="C19" s="1" t="str">
        <f>HYPERLINK("https://www.avito.ru/sankt-peterburg_kolpino/uslugi/priem_i_vyvoz_metalloloma_7805003741","Прием и вывоз металлолома")</f>
        <v>Прием и вывоз металлолома</v>
      </c>
      <c r="D19" t="s">
        <v>21</v>
      </c>
      <c r="E19" s="8" t="str">
        <f>HYPERLINK("https://www.avito.ru/sankt-peterburg_kolpino/uslugi/priem_i_vyvoz_metalloloma_7805003741","7805003741")</f>
        <v>7805003741</v>
      </c>
    </row>
    <row r="20" spans="1:5" x14ac:dyDescent="0.3">
      <c r="A20" s="9" t="s">
        <v>127</v>
      </c>
      <c r="B20" s="15" t="s">
        <v>131</v>
      </c>
      <c r="C20" s="1" t="str">
        <f>HYPERLINK("https://www.avito.ru/sankt-peterburg/uslugi/priem_i_vyvoz_metalloloma_samovyvoz_loma_7805547972","Прием и вывоз металлолома / Самовывоз лома")</f>
        <v>Прием и вывоз металлолома / Самовывоз лома</v>
      </c>
      <c r="D20" t="s">
        <v>35</v>
      </c>
      <c r="E20" s="8" t="str">
        <f>HYPERLINK("https://www.avito.ru/sankt-peterburg/uslugi/priem_i_vyvoz_metalloloma_samovyvoz_loma_7805547972","7805547972")</f>
        <v>7805547972</v>
      </c>
    </row>
    <row r="21" spans="1:5" x14ac:dyDescent="0.3">
      <c r="A21" s="9" t="s">
        <v>127</v>
      </c>
      <c r="B21" s="15" t="s">
        <v>137</v>
      </c>
      <c r="C21" s="1" t="str">
        <f>HYPERLINK("https://www.avito.ru/pskov/uslugi/priem_provodov._skupka_7869000223","Прием проводов. Скупка")</f>
        <v>Прием проводов. Скупка</v>
      </c>
      <c r="D21" t="s">
        <v>38</v>
      </c>
      <c r="E21" s="8" t="str">
        <f>HYPERLINK("https://www.avito.ru/pskov/uslugi/priem_provodov._skupka_7869000223","7869000223")</f>
        <v>7869000223</v>
      </c>
    </row>
    <row r="22" spans="1:5" x14ac:dyDescent="0.3">
      <c r="A22" s="9" t="s">
        <v>127</v>
      </c>
      <c r="B22" s="15" t="s">
        <v>135</v>
      </c>
      <c r="C22" s="1" t="str">
        <f>HYPERLINK("https://www.avito.ru/velikiy_novgorod/uslugi/priem_plat_i_elektronnogo_loma._skupka_plat_7869768110","Прием плат и электронного лома. Скупка плат")</f>
        <v>Прием плат и электронного лома. Скупка плат</v>
      </c>
      <c r="D22" t="s">
        <v>31</v>
      </c>
      <c r="E22" s="8" t="str">
        <f>HYPERLINK("https://www.avito.ru/velikiy_novgorod/uslugi/priem_plat_i_elektronnogo_loma._skupka_plat_7869768110","7869768110")</f>
        <v>7869768110</v>
      </c>
    </row>
    <row r="23" spans="1:5" x14ac:dyDescent="0.3">
      <c r="A23" s="9" t="s">
        <v>127</v>
      </c>
      <c r="B23" s="15" t="s">
        <v>135</v>
      </c>
      <c r="C23" s="1" t="str">
        <f>HYPERLINK("https://www.avito.ru/sankt-peterburg_pushkin/uslugi/priem_plat_i_elektronnogo_loma._skupka_plat_7804957025","Прием плат и электронного лома. Скупка плат")</f>
        <v>Прием плат и электронного лома. Скупка плат</v>
      </c>
      <c r="D23" t="s">
        <v>43</v>
      </c>
      <c r="E23" s="8" t="str">
        <f>HYPERLINK("https://www.avito.ru/sankt-peterburg_pushkin/uslugi/priem_plat_i_elektronnogo_loma._skupka_plat_7804957025","7804957025")</f>
        <v>7804957025</v>
      </c>
    </row>
    <row r="24" spans="1:5" x14ac:dyDescent="0.3">
      <c r="A24" s="9" t="s">
        <v>127</v>
      </c>
      <c r="B24" s="15" t="s">
        <v>135</v>
      </c>
      <c r="C24" s="1" t="str">
        <f>HYPERLINK("https://www.avito.ru/sankt-peterburg_kolpino/uslugi/priem_plat_i_elektronnogo_loma._skupka_plat_7805027133","Прием плат и электронного лома. Скупка плат")</f>
        <v>Прием плат и электронного лома. Скупка плат</v>
      </c>
      <c r="D24" t="s">
        <v>21</v>
      </c>
      <c r="E24" s="8" t="str">
        <f>HYPERLINK("https://www.avito.ru/sankt-peterburg_kolpino/uslugi/priem_plat_i_elektronnogo_loma._skupka_plat_7805027133","7805027133")</f>
        <v>7805027133</v>
      </c>
    </row>
    <row r="25" spans="1:5" x14ac:dyDescent="0.3">
      <c r="A25" s="9" t="s">
        <v>127</v>
      </c>
      <c r="B25" s="15" t="s">
        <v>134</v>
      </c>
      <c r="C25" s="1" t="str">
        <f>HYPERLINK("https://www.avito.ru/sankt-peterburg_pushkin/uslugi/priem_bu_akkumulyatorov_akb_7805155781","Прием бу аккумуляторов АКБ")</f>
        <v>Прием бу аккумуляторов АКБ</v>
      </c>
      <c r="D25" t="s">
        <v>43</v>
      </c>
      <c r="E25" s="8" t="str">
        <f>HYPERLINK("https://www.avito.ru/sankt-peterburg_pushkin/uslugi/priem_bu_akkumulyatorov_akb_7805155781","7805155781")</f>
        <v>7805155781</v>
      </c>
    </row>
    <row r="26" spans="1:5" x14ac:dyDescent="0.3">
      <c r="A26" s="9" t="s">
        <v>127</v>
      </c>
      <c r="B26" s="15" t="s">
        <v>135</v>
      </c>
      <c r="C26" s="1" t="str">
        <f>HYPERLINK("https://www.avito.ru/sankt-peterburg_kronstadt/uslugi/skupka_radiodetaley_plat_priborov_7805163608","Скупка радиодеталей / плат / приборов")</f>
        <v>Скупка радиодеталей / плат / приборов</v>
      </c>
      <c r="D26" t="s">
        <v>45</v>
      </c>
      <c r="E26" s="8" t="str">
        <f>HYPERLINK("https://www.avito.ru/sankt-peterburg_kronstadt/uslugi/skupka_radiodetaley_plat_priborov_7805163608","7805163608")</f>
        <v>7805163608</v>
      </c>
    </row>
    <row r="27" spans="1:5" x14ac:dyDescent="0.3">
      <c r="A27" s="9" t="s">
        <v>127</v>
      </c>
      <c r="B27" s="15" t="s">
        <v>134</v>
      </c>
      <c r="C27" s="1" t="str">
        <f>HYPERLINK("https://www.avito.ru/sankt-peterburg_kolpino/uslugi/priem_avtomobilnyh_akkumulyatorov_bu_7805336972","Прием автомобильных аккумуляторов бу")</f>
        <v>Прием автомобильных аккумуляторов бу</v>
      </c>
      <c r="D27" t="s">
        <v>21</v>
      </c>
      <c r="E27" s="8" t="str">
        <f>HYPERLINK("https://www.avito.ru/sankt-peterburg_kolpino/uslugi/priem_avtomobilnyh_akkumulyatorov_bu_7805336972","7805336972")</f>
        <v>7805336972</v>
      </c>
    </row>
    <row r="28" spans="1:5" x14ac:dyDescent="0.3">
      <c r="A28" s="9" t="s">
        <v>127</v>
      </c>
      <c r="B28" s="15" t="s">
        <v>131</v>
      </c>
      <c r="C28" s="1" t="str">
        <f>HYPERLINK("https://www.avito.ru/velikiy_novgorod/uslugi/priem_metalloloma_vyvoz_metalloloma_demontazh_7805448542","Прием металлолома / вывоз металлолома / демонтаж")</f>
        <v>Прием металлолома / вывоз металлолома / демонтаж</v>
      </c>
      <c r="D28" t="s">
        <v>31</v>
      </c>
      <c r="E28" s="8" t="str">
        <f>HYPERLINK("https://www.avito.ru/velikiy_novgorod/uslugi/priem_metalloloma_vyvoz_metalloloma_demontazh_7805448542","7805448542")</f>
        <v>7805448542</v>
      </c>
    </row>
    <row r="29" spans="1:5" x14ac:dyDescent="0.3">
      <c r="A29" s="9" t="s">
        <v>127</v>
      </c>
      <c r="B29" s="17" t="s">
        <v>131</v>
      </c>
      <c r="C29" s="1" t="str">
        <f>HYPERLINK("https://www.avito.ru/sankt-peterburg_sestroretsk/uslugi/priem_i_vyvoz_metalloloma_spb_i_lo_7805597777","Прием и вывоз металлолома СПБ и ло")</f>
        <v>Прием и вывоз металлолома СПБ и ло</v>
      </c>
      <c r="D29" t="s">
        <v>80</v>
      </c>
      <c r="E29" s="8" t="str">
        <f>HYPERLINK("https://www.avito.ru/sankt-peterburg_sestroretsk/uslugi/priem_i_vyvoz_metalloloma_spb_i_lo_7805597777","7805597777")</f>
        <v>7805597777</v>
      </c>
    </row>
    <row r="30" spans="1:5" x14ac:dyDescent="0.3">
      <c r="A30" s="9" t="s">
        <v>127</v>
      </c>
      <c r="B30" s="17" t="s">
        <v>134</v>
      </c>
      <c r="C30" s="1" t="str">
        <f>HYPERLINK("https://www.avito.ru/sankt-peterburg_kronstadt/uslugi/sdat_staryy_akkumulyator_priem_akkumulyatorov_sdat_akb_7805669789","Сдать старый аккумулятор / приём аккумуляторов / сдать АКБ")</f>
        <v>Сдать старый аккумулятор / приём аккумуляторов / сдать АКБ</v>
      </c>
      <c r="D30" t="s">
        <v>45</v>
      </c>
      <c r="E30" s="8" t="str">
        <f>HYPERLINK("https://www.avito.ru/sankt-peterburg_kronstadt/uslugi/sdat_staryy_akkumulyator_priem_akkumulyatorov_sdat_akb_7805669789","7805669789")</f>
        <v>7805669789</v>
      </c>
    </row>
    <row r="31" spans="1:5" x14ac:dyDescent="0.3">
      <c r="A31" s="9" t="s">
        <v>127</v>
      </c>
      <c r="B31" s="15" t="s">
        <v>136</v>
      </c>
      <c r="C31" s="1" t="str">
        <f>HYPERLINK("https://www.avito.ru/sankt-peterburg/uslugi/sdat_reztsy_vktkpriem_loma_7836999512","Сдать резцы вктк/прием лома")</f>
        <v>Сдать резцы вктк/прием лома</v>
      </c>
      <c r="D31" t="s">
        <v>23</v>
      </c>
      <c r="E31" s="8" t="str">
        <f>HYPERLINK("https://www.avito.ru/sankt-peterburg/uslugi/sdat_reztsy_vktkpriem_loma_7836999512","7836999512")</f>
        <v>7836999512</v>
      </c>
    </row>
    <row r="32" spans="1:5" x14ac:dyDescent="0.3">
      <c r="A32" s="9" t="s">
        <v>127</v>
      </c>
      <c r="B32" s="15" t="s">
        <v>131</v>
      </c>
      <c r="C32" s="1" t="str">
        <f>HYPERLINK("https://www.avito.ru/petrozavodsk/uslugi/priem_metalloloma_vyvoz_metalloloma_demontazh_7837705504","Прием металлолома / вывоз металлолома / демонтаж")</f>
        <v>Прием металлолома / вывоз металлолома / демонтаж</v>
      </c>
      <c r="D32" t="s">
        <v>18</v>
      </c>
      <c r="E32" s="8" t="str">
        <f>HYPERLINK("https://www.avito.ru/petrozavodsk/uslugi/priem_metalloloma_vyvoz_metalloloma_demontazh_7837705504","7837705504")</f>
        <v>7837705504</v>
      </c>
    </row>
    <row r="33" spans="1:5" x14ac:dyDescent="0.3">
      <c r="A33" s="9" t="s">
        <v>127</v>
      </c>
      <c r="B33" s="17" t="s">
        <v>137</v>
      </c>
      <c r="C33" s="1" t="str">
        <f>HYPERLINK("https://www.avito.ru/arhangelsk/uslugi/priem_provodov._skupka_7869498610","Прием проводов. Скупка")</f>
        <v>Прием проводов. Скупка</v>
      </c>
      <c r="D33" t="s">
        <v>28</v>
      </c>
      <c r="E33" s="8" t="str">
        <f>HYPERLINK("https://www.avito.ru/arhangelsk/uslugi/priem_provodov._skupka_7869498610","7869498610")</f>
        <v>7869498610</v>
      </c>
    </row>
    <row r="34" spans="1:5" x14ac:dyDescent="0.3">
      <c r="A34" s="9" t="s">
        <v>127</v>
      </c>
      <c r="B34" s="17" t="s">
        <v>131</v>
      </c>
      <c r="C34" s="1" t="str">
        <f>HYPERLINK("https://www.avito.ru/sankt-peterburg/uslugi/priem_i_vyvoz_metalloloma_samovyvoz_loma_7805131284","Прием и вывоз металлолома / Самовывоз лома")</f>
        <v>Прием и вывоз металлолома / Самовывоз лома</v>
      </c>
      <c r="D34" t="s">
        <v>78</v>
      </c>
      <c r="E34" s="8" t="str">
        <f>HYPERLINK("https://www.avito.ru/sankt-peterburg/uslugi/priem_i_vyvoz_metalloloma_samovyvoz_loma_7805131284","7805131284")</f>
        <v>7805131284</v>
      </c>
    </row>
    <row r="35" spans="1:5" x14ac:dyDescent="0.3">
      <c r="A35" s="9" t="s">
        <v>127</v>
      </c>
      <c r="B35" s="17" t="s">
        <v>134</v>
      </c>
      <c r="C35" s="1" t="str">
        <f>HYPERLINK("https://www.avito.ru/sankt-peterburg_sestroretsk/uslugi/priem_bu_akkumulyatorov_7805145257","Прием бу аккумуляторов")</f>
        <v>Прием бу аккумуляторов</v>
      </c>
      <c r="D35" t="s">
        <v>80</v>
      </c>
      <c r="E35" s="8" t="str">
        <f>HYPERLINK("https://www.avito.ru/sankt-peterburg_sestroretsk/uslugi/priem_bu_akkumulyatorov_7805145257","7805145257")</f>
        <v>7805145257</v>
      </c>
    </row>
    <row r="36" spans="1:5" x14ac:dyDescent="0.3">
      <c r="A36" s="9" t="s">
        <v>127</v>
      </c>
      <c r="B36" s="17" t="s">
        <v>134</v>
      </c>
      <c r="C36" s="1" t="str">
        <f>HYPERLINK("https://www.avito.ru/sankt-peterburg_sestroretsk/uslugi/sdat_staryy_akkumulyator_priem_akkumulyatorov_sdat_akb_7805192096","Сдать старый аккумулятор / приём аккумуляторов / сдать АКБ")</f>
        <v>Сдать старый аккумулятор / приём аккумуляторов / сдать АКБ</v>
      </c>
      <c r="D36" t="s">
        <v>80</v>
      </c>
      <c r="E36" s="8" t="str">
        <f>HYPERLINK("https://www.avito.ru/sankt-peterburg_sestroretsk/uslugi/sdat_staryy_akkumulyator_priem_akkumulyatorov_sdat_akb_7805192096","7805192096")</f>
        <v>7805192096</v>
      </c>
    </row>
    <row r="37" spans="1:5" x14ac:dyDescent="0.3">
      <c r="A37" s="9" t="s">
        <v>127</v>
      </c>
      <c r="B37" s="15" t="s">
        <v>131</v>
      </c>
      <c r="C37" s="1" t="str">
        <f>HYPERLINK("https://www.avito.ru/sankt-peterburg_pushkin/uslugi/sdat_metallolom_spb_i_lo_7805352536","Сдать металлолом СПБ и ло")</f>
        <v>Сдать металлолом СПБ и ло</v>
      </c>
      <c r="D37" t="s">
        <v>43</v>
      </c>
      <c r="E37" s="8" t="str">
        <f>HYPERLINK("https://www.avito.ru/sankt-peterburg_pushkin/uslugi/sdat_metallolom_spb_i_lo_7805352536","7805352536")</f>
        <v>7805352536</v>
      </c>
    </row>
    <row r="38" spans="1:5" x14ac:dyDescent="0.3">
      <c r="A38" s="9" t="s">
        <v>127</v>
      </c>
      <c r="B38" s="17" t="s">
        <v>137</v>
      </c>
      <c r="C38" s="1" t="str">
        <f>HYPERLINK("https://www.avito.ru/sankt-peterburg/uslugi/priem_kabelya_skupka_kabelya_priem_provodov_7805484457","Прием кабеля / Скупка кабеля / Прием проводов")</f>
        <v>Прием кабеля / Скупка кабеля / Прием проводов</v>
      </c>
      <c r="D38" t="s">
        <v>25</v>
      </c>
      <c r="E38" s="8" t="str">
        <f>HYPERLINK("https://www.avito.ru/sankt-peterburg/uslugi/priem_kabelya_skupka_kabelya_priem_provodov_7805484457","7805484457")</f>
        <v>7805484457</v>
      </c>
    </row>
    <row r="39" spans="1:5" x14ac:dyDescent="0.3">
      <c r="A39" s="9" t="s">
        <v>127</v>
      </c>
      <c r="B39" s="17" t="s">
        <v>138</v>
      </c>
      <c r="C39" s="1" t="str">
        <f>HYPERLINK("https://www.avito.ru/sankt-peterburg_pushkin/uslugi/vyvoz_metalloloma_nerzhaveyka_bu_7805665299","Вывоз металлолома / нержавейка бу")</f>
        <v>Вывоз металлолома / нержавейка бу</v>
      </c>
      <c r="D39" t="s">
        <v>43</v>
      </c>
      <c r="E39" s="8" t="str">
        <f>HYPERLINK("https://www.avito.ru/sankt-peterburg_pushkin/uslugi/vyvoz_metalloloma_nerzhaveyka_bu_7805665299","7805665299")</f>
        <v>7805665299</v>
      </c>
    </row>
    <row r="40" spans="1:5" x14ac:dyDescent="0.3">
      <c r="A40" s="9" t="s">
        <v>127</v>
      </c>
      <c r="B40" s="17" t="s">
        <v>135</v>
      </c>
      <c r="C40" s="1" t="str">
        <f>HYPERLINK("https://www.avito.ru/sankt-peterburg/uslugi/priem_plat_i_elektronnogo_loma._skupka_plat_7805679386","Прием плат и электронного лома. Скупка плат")</f>
        <v>Прием плат и электронного лома. Скупка плат</v>
      </c>
      <c r="D40" t="s">
        <v>19</v>
      </c>
      <c r="E40" s="8" t="str">
        <f>HYPERLINK("https://www.avito.ru/sankt-peterburg/uslugi/priem_plat_i_elektronnogo_loma._skupka_plat_7805679386","7805679386")</f>
        <v>7805679386</v>
      </c>
    </row>
    <row r="41" spans="1:5" x14ac:dyDescent="0.3">
      <c r="A41" s="9" t="s">
        <v>127</v>
      </c>
      <c r="B41" s="17" t="s">
        <v>133</v>
      </c>
      <c r="C41" s="1" t="str">
        <f>HYPERLINK("https://www.avito.ru/sankt-peterburg/uslugi/priem_tsvetnogo_metalloloma_7805849015","Прием цветного металлолома")</f>
        <v>Прием цветного металлолома</v>
      </c>
      <c r="D41" t="s">
        <v>106</v>
      </c>
      <c r="E41" s="8" t="str">
        <f>HYPERLINK("https://www.avito.ru/sankt-peterburg/uslugi/priem_tsvetnogo_metalloloma_7805849015","7805849015")</f>
        <v>7805849015</v>
      </c>
    </row>
    <row r="42" spans="1:5" x14ac:dyDescent="0.3">
      <c r="A42" s="9" t="s">
        <v>127</v>
      </c>
      <c r="B42" s="17" t="s">
        <v>136</v>
      </c>
      <c r="C42" s="1" t="str">
        <f>HYPERLINK("https://www.avito.ru/sankt-peterburg/uslugi/skupka_volframa_provolokasdat_volfram_7836991577","Скупка Вольфрама проволока/сдать вольфрам")</f>
        <v>Скупка Вольфрама проволока/сдать вольфрам</v>
      </c>
      <c r="D42" t="s">
        <v>62</v>
      </c>
      <c r="E42" s="8" t="str">
        <f>HYPERLINK("https://www.avito.ru/sankt-peterburg/uslugi/skupka_volframa_provolokasdat_volfram_7836991577","7836991577")</f>
        <v>7836991577</v>
      </c>
    </row>
    <row r="43" spans="1:5" x14ac:dyDescent="0.3">
      <c r="A43" s="9" t="s">
        <v>127</v>
      </c>
      <c r="B43" s="15" t="s">
        <v>131</v>
      </c>
      <c r="C43" s="1" t="str">
        <f>HYPERLINK("https://www.avito.ru/cherepovets/uslugi/priem_metalloloma_vyvoz_metalloloma_demontazh_7837205601","Прием металлолома / вывоз металлолома / демонтаж")</f>
        <v>Прием металлолома / вывоз металлолома / демонтаж</v>
      </c>
      <c r="D43" t="s">
        <v>47</v>
      </c>
      <c r="E43" s="8" t="str">
        <f>HYPERLINK("https://www.avito.ru/cherepovets/uslugi/priem_metalloloma_vyvoz_metalloloma_demontazh_7837205601","7837205601")</f>
        <v>7837205601</v>
      </c>
    </row>
    <row r="44" spans="1:5" x14ac:dyDescent="0.3">
      <c r="A44" s="9" t="s">
        <v>127</v>
      </c>
      <c r="B44" s="17" t="s">
        <v>131</v>
      </c>
      <c r="C44" s="1" t="str">
        <f>HYPERLINK("https://www.avito.ru/velikiy_novgorod/uslugi/priem_metalloloma_vyvoz_metalloloma_demontazh_7837296315","Прием металлолома / вывоз металлолома / демонтаж")</f>
        <v>Прием металлолома / вывоз металлолома / демонтаж</v>
      </c>
      <c r="D44" t="s">
        <v>31</v>
      </c>
      <c r="E44" s="8" t="str">
        <f>HYPERLINK("https://www.avito.ru/velikiy_novgorod/uslugi/priem_metalloloma_vyvoz_metalloloma_demontazh_7837296315","7837296315")</f>
        <v>7837296315</v>
      </c>
    </row>
    <row r="45" spans="1:5" x14ac:dyDescent="0.3">
      <c r="A45" s="9" t="s">
        <v>127</v>
      </c>
      <c r="B45" s="17" t="s">
        <v>140</v>
      </c>
      <c r="C45" s="1" t="str">
        <f>HYPERLINK("https://www.avito.ru/arhangelsk/uslugi/vyvoz_metalloloma_skupka_medi_sdat_med_7837492863","Вывоз металлолома, скупка меди, сдать медь")</f>
        <v>Вывоз металлолома, скупка меди, сдать медь</v>
      </c>
      <c r="D45" t="s">
        <v>28</v>
      </c>
      <c r="E45" s="8" t="str">
        <f>HYPERLINK("https://www.avito.ru/arhangelsk/uslugi/vyvoz_metalloloma_skupka_medi_sdat_med_7837492863","7837492863")</f>
        <v>7837492863</v>
      </c>
    </row>
    <row r="46" spans="1:5" x14ac:dyDescent="0.3">
      <c r="A46" s="9" t="s">
        <v>127</v>
      </c>
      <c r="B46" s="15" t="s">
        <v>140</v>
      </c>
      <c r="C46" s="1" t="str">
        <f>HYPERLINK("https://www.avito.ru/petrozavodsk/uslugi/vyvoz_metalloloma_skupka_medi_sdat_med_7837525486","Вывоз металлолома, скупка меди, сдать медь")</f>
        <v>Вывоз металлолома, скупка меди, сдать медь</v>
      </c>
      <c r="D46" t="s">
        <v>18</v>
      </c>
      <c r="E46" s="8" t="str">
        <f>HYPERLINK("https://www.avito.ru/petrozavodsk/uslugi/vyvoz_metalloloma_skupka_medi_sdat_med_7837525486","7837525486")</f>
        <v>7837525486</v>
      </c>
    </row>
    <row r="47" spans="1:5" x14ac:dyDescent="0.3">
      <c r="A47" s="9" t="s">
        <v>127</v>
      </c>
      <c r="B47" s="17" t="s">
        <v>138</v>
      </c>
      <c r="C47" s="1" t="str">
        <f>HYPERLINK("https://www.avito.ru/petrozavodsk/uslugi/vyvoz_metalloloma_nerzhaveyka_bu_7837580977","Вывоз металлолома / нержавейка бу")</f>
        <v>Вывоз металлолома / нержавейка бу</v>
      </c>
      <c r="D47" t="s">
        <v>18</v>
      </c>
      <c r="E47" s="8" t="str">
        <f>HYPERLINK("https://www.avito.ru/petrozavodsk/uslugi/vyvoz_metalloloma_nerzhaveyka_bu_7837580977","7837580977")</f>
        <v>7837580977</v>
      </c>
    </row>
    <row r="48" spans="1:5" x14ac:dyDescent="0.3">
      <c r="A48" s="9" t="s">
        <v>127</v>
      </c>
      <c r="B48" s="17" t="s">
        <v>138</v>
      </c>
      <c r="C48" s="1" t="str">
        <f>HYPERLINK("https://www.avito.ru/velikiy_novgorod/uslugi/vyvoz_metalloloma_nerzhaveyka_bu_7837617420","Вывоз металлолома / нержавейка бу")</f>
        <v>Вывоз металлолома / нержавейка бу</v>
      </c>
      <c r="D48" t="s">
        <v>31</v>
      </c>
      <c r="E48" s="8" t="str">
        <f>HYPERLINK("https://www.avito.ru/velikiy_novgorod/uslugi/vyvoz_metalloloma_nerzhaveyka_bu_7837617420","7837617420")</f>
        <v>7837617420</v>
      </c>
    </row>
    <row r="49" spans="1:5" x14ac:dyDescent="0.3">
      <c r="A49" s="9" t="s">
        <v>127</v>
      </c>
      <c r="B49" s="17" t="s">
        <v>133</v>
      </c>
      <c r="C49" s="1" t="str">
        <f>HYPERLINK("https://www.avito.ru/pskov/uslugi/priem_tsvetnogo_metalloloma_7868957773","Прием цветного металлолома")</f>
        <v>Прием цветного металлолома</v>
      </c>
      <c r="D49" t="s">
        <v>38</v>
      </c>
      <c r="E49" s="8" t="str">
        <f>HYPERLINK("https://www.avito.ru/pskov/uslugi/priem_tsvetnogo_metalloloma_7868957773","7868957773")</f>
        <v>7868957773</v>
      </c>
    </row>
    <row r="50" spans="1:5" x14ac:dyDescent="0.3">
      <c r="A50" s="9" t="s">
        <v>127</v>
      </c>
      <c r="B50" s="17" t="s">
        <v>135</v>
      </c>
      <c r="C50" s="1" t="str">
        <f>HYPERLINK("https://www.avito.ru/pskov/uslugi/priem_plat_i_elektronnogo_loma._skupka_plat_7869146241","Прием плат и электронного лома. Скупка плат")</f>
        <v>Прием плат и электронного лома. Скупка плат</v>
      </c>
      <c r="D50" t="s">
        <v>38</v>
      </c>
      <c r="E50" s="8" t="str">
        <f>HYPERLINK("https://www.avito.ru/pskov/uslugi/priem_plat_i_elektronnogo_loma._skupka_plat_7869146241","7869146241")</f>
        <v>7869146241</v>
      </c>
    </row>
    <row r="51" spans="1:5" x14ac:dyDescent="0.3">
      <c r="A51" s="9" t="s">
        <v>127</v>
      </c>
      <c r="B51" s="15" t="s">
        <v>133</v>
      </c>
      <c r="C51" s="1" t="str">
        <f>HYPERLINK("https://www.avito.ru/arhangelsk/uslugi/priem_tsvetnogo_metalloloma_7869230512","Прием цветного металлолома")</f>
        <v>Прием цветного металлолома</v>
      </c>
      <c r="D51" t="s">
        <v>28</v>
      </c>
      <c r="E51" s="8" t="str">
        <f>HYPERLINK("https://www.avito.ru/arhangelsk/uslugi/priem_tsvetnogo_metalloloma_7869230512","7869230512")</f>
        <v>7869230512</v>
      </c>
    </row>
    <row r="52" spans="1:5" x14ac:dyDescent="0.3">
      <c r="A52" s="9" t="s">
        <v>127</v>
      </c>
      <c r="B52" s="15" t="s">
        <v>131</v>
      </c>
      <c r="C52" s="1" t="str">
        <f>HYPERLINK("https://www.avito.ru/sankt-peterburg/uslugi/priem_metalloloma_vyvoz_metalloloma_demontazh_7869423789","Прием металлолома / вывоз металлолома / демонтаж")</f>
        <v>Прием металлолома / вывоз металлолома / демонтаж</v>
      </c>
      <c r="D52" t="s">
        <v>115</v>
      </c>
      <c r="E52" s="8" t="str">
        <f>HYPERLINK("https://www.avito.ru/sankt-peterburg/uslugi/priem_metalloloma_vyvoz_metalloloma_demontazh_7869423789","7869423789")</f>
        <v>7869423789</v>
      </c>
    </row>
    <row r="53" spans="1:5" x14ac:dyDescent="0.3">
      <c r="A53" s="9" t="s">
        <v>127</v>
      </c>
      <c r="B53" s="15" t="s">
        <v>135</v>
      </c>
      <c r="C53" s="1" t="str">
        <f>HYPERLINK("https://www.avito.ru/cherepovets/uslugi/priem_plat_i_elektronnogo_loma._skupka_plat_7869429952","Прием плат и электронного лома. Скупка плат")</f>
        <v>Прием плат и электронного лома. Скупка плат</v>
      </c>
      <c r="D53" t="s">
        <v>47</v>
      </c>
      <c r="E53" s="8" t="str">
        <f>HYPERLINK("https://www.avito.ru/cherepovets/uslugi/priem_plat_i_elektronnogo_loma._skupka_plat_7869429952","7869429952")</f>
        <v>7869429952</v>
      </c>
    </row>
    <row r="54" spans="1:5" x14ac:dyDescent="0.3">
      <c r="A54" s="9" t="s">
        <v>127</v>
      </c>
      <c r="B54" s="17" t="s">
        <v>135</v>
      </c>
      <c r="C54" s="1" t="str">
        <f>HYPERLINK("https://www.avito.ru/vologda/uslugi/priem_plat_i_elektronnogo_loma._skupka_plat_7869904242","Прием плат и электронного лома. Скупка плат")</f>
        <v>Прием плат и электронного лома. Скупка плат</v>
      </c>
      <c r="D54" t="s">
        <v>41</v>
      </c>
      <c r="E54" s="8" t="str">
        <f>HYPERLINK("https://www.avito.ru/vologda/uslugi/priem_plat_i_elektronnogo_loma._skupka_plat_7869904242","7869904242")</f>
        <v>7869904242</v>
      </c>
    </row>
    <row r="55" spans="1:5" x14ac:dyDescent="0.3">
      <c r="A55" s="9" t="s">
        <v>127</v>
      </c>
      <c r="B55" s="17" t="s">
        <v>49</v>
      </c>
      <c r="C55" s="1" t="str">
        <f>HYPERLINK("https://www.avito.ru/sankt-peterburg/uslugi/demontazh_i_snos_zdaniy_sooruzheniy_7901344856","Демонтаж и снос зданий сооружений")</f>
        <v>Демонтаж и снос зданий сооружений</v>
      </c>
      <c r="D55" t="s">
        <v>11</v>
      </c>
      <c r="E55" s="8" t="str">
        <f>HYPERLINK("https://www.avito.ru/sankt-peterburg/uslugi/demontazh_i_snos_zdaniy_sooruzheniy_7901344856","7901344856")</f>
        <v>7901344856</v>
      </c>
    </row>
    <row r="56" spans="1:5" x14ac:dyDescent="0.3">
      <c r="A56" s="9" t="s">
        <v>127</v>
      </c>
      <c r="B56" s="17" t="s">
        <v>131</v>
      </c>
      <c r="C56" s="1" t="str">
        <f>HYPERLINK("https://www.avito.ru/volosovo/uslugi/priem_metalloloma_vyvoz_metalloloma_demontazh_7901915394","Прием металлолома / вывоз металлолома / демонтаж")</f>
        <v>Прием металлолома / вывоз металлолома / демонтаж</v>
      </c>
      <c r="D56" t="s">
        <v>117</v>
      </c>
      <c r="E56" s="8" t="str">
        <f>HYPERLINK("https://www.avito.ru/volosovo/uslugi/priem_metalloloma_vyvoz_metalloloma_demontazh_7901915394","7901915394")</f>
        <v>7901915394</v>
      </c>
    </row>
    <row r="57" spans="1:5" x14ac:dyDescent="0.3">
      <c r="A57" s="9" t="s">
        <v>127</v>
      </c>
      <c r="B57" s="17" t="s">
        <v>131</v>
      </c>
      <c r="C57" s="1" t="str">
        <f>HYPERLINK("https://www.avito.ru/vologda/uslugi/sdat_metallolom_7804957314","Сдать металлолом")</f>
        <v>Сдать металлолом</v>
      </c>
      <c r="D57" t="s">
        <v>41</v>
      </c>
      <c r="E57" s="8" t="str">
        <f>HYPERLINK("https://www.avito.ru/vologda/uslugi/sdat_metallolom_7804957314","7804957314")</f>
        <v>7804957314</v>
      </c>
    </row>
    <row r="58" spans="1:5" x14ac:dyDescent="0.3">
      <c r="A58" s="9" t="s">
        <v>127</v>
      </c>
      <c r="B58" s="17" t="s">
        <v>131</v>
      </c>
      <c r="C58" s="1" t="str">
        <f>HYPERLINK("https://www.avito.ru/cherepovets/uslugi/priem_i_vyvoz_metalloloma_7804963380","Прием и вывоз металлолома")</f>
        <v>Прием и вывоз металлолома</v>
      </c>
      <c r="D58" t="s">
        <v>47</v>
      </c>
      <c r="E58" s="8" t="str">
        <f>HYPERLINK("https://www.avito.ru/cherepovets/uslugi/priem_i_vyvoz_metalloloma_7804963380","7804963380")</f>
        <v>7804963380</v>
      </c>
    </row>
    <row r="59" spans="1:5" x14ac:dyDescent="0.3">
      <c r="A59" s="9" t="s">
        <v>127</v>
      </c>
      <c r="B59" s="15" t="s">
        <v>131</v>
      </c>
      <c r="C59" s="1" t="str">
        <f>HYPERLINK("https://www.avito.ru/svetogorsk/uslugi/skupka_i_vyvoz_metalloloma_v_spb_i_lo_s_demontazhem_7804972636","Скупка и вывоз металлолома в СПб и ло с демонтажем")</f>
        <v>Скупка и вывоз металлолома в СПб и ло с демонтажем</v>
      </c>
      <c r="D59" t="s">
        <v>53</v>
      </c>
      <c r="E59" s="8" t="str">
        <f>HYPERLINK("https://www.avito.ru/svetogorsk/uslugi/skupka_i_vyvoz_metalloloma_v_spb_i_lo_s_demontazhem_7804972636","7804972636")</f>
        <v>7804972636</v>
      </c>
    </row>
    <row r="60" spans="1:5" x14ac:dyDescent="0.3">
      <c r="A60" s="9" t="s">
        <v>127</v>
      </c>
      <c r="B60" s="17" t="s">
        <v>131</v>
      </c>
      <c r="C60" s="1" t="str">
        <f>HYPERLINK("https://www.avito.ru/syasstroy/uslugi/priem_metalloloma_vyvoz_metalloloma_demontazh_7804993312","Прием металлолома / вывоз металлолома / демонтаж")</f>
        <v>Прием металлолома / вывоз металлолома / демонтаж</v>
      </c>
      <c r="D60" t="s">
        <v>66</v>
      </c>
      <c r="E60" s="8" t="str">
        <f>HYPERLINK("https://www.avito.ru/syasstroy/uslugi/priem_metalloloma_vyvoz_metalloloma_demontazh_7804993312","7804993312")</f>
        <v>7804993312</v>
      </c>
    </row>
    <row r="61" spans="1:5" x14ac:dyDescent="0.3">
      <c r="A61" s="9" t="s">
        <v>127</v>
      </c>
      <c r="B61" s="17" t="s">
        <v>131</v>
      </c>
      <c r="C61" s="1" t="str">
        <f>HYPERLINK("https://www.avito.ru/lodeynoe_pole/uslugi/skupka_i_vyvoz_metalloloma_v_spb_i_lo_s_demontazhem_7805034704","Скупка и вывоз металлолома в СПб и ло с демонтажем")</f>
        <v>Скупка и вывоз металлолома в СПб и ло с демонтажем</v>
      </c>
      <c r="D61" t="s">
        <v>67</v>
      </c>
      <c r="E61" s="8" t="str">
        <f>HYPERLINK("https://www.avito.ru/lodeynoe_pole/uslugi/skupka_i_vyvoz_metalloloma_v_spb_i_lo_s_demontazhem_7805034704","7805034704")</f>
        <v>7805034704</v>
      </c>
    </row>
    <row r="62" spans="1:5" x14ac:dyDescent="0.3">
      <c r="A62" s="9" t="s">
        <v>127</v>
      </c>
      <c r="B62" s="17" t="s">
        <v>135</v>
      </c>
      <c r="C62" s="1" t="str">
        <f>HYPERLINK("https://www.avito.ru/sankt-peterburg/uslugi/skupka_radiodetaley_plat_priborov_7805035612","Скупка радиодеталей / плат / приборов")</f>
        <v>Скупка радиодеталей / плат / приборов</v>
      </c>
      <c r="D62" t="s">
        <v>68</v>
      </c>
      <c r="E62" s="8" t="str">
        <f>HYPERLINK("https://www.avito.ru/sankt-peterburg/uslugi/skupka_radiodetaley_plat_priborov_7805035612","7805035612")</f>
        <v>7805035612</v>
      </c>
    </row>
    <row r="63" spans="1:5" x14ac:dyDescent="0.3">
      <c r="A63" s="9" t="s">
        <v>127</v>
      </c>
      <c r="B63" s="17" t="s">
        <v>131</v>
      </c>
      <c r="C63" s="1" t="str">
        <f>HYPERLINK("https://www.avito.ru/vyborg/uslugi/sdat_metallolom_spb_i_lo_7805045884","Сдать металлолом СПБ и ло")</f>
        <v>Сдать металлолом СПБ и ло</v>
      </c>
      <c r="D63" t="s">
        <v>55</v>
      </c>
      <c r="E63" s="8" t="str">
        <f>HYPERLINK("https://www.avito.ru/vyborg/uslugi/sdat_metallolom_spb_i_lo_7805045884","7805045884")</f>
        <v>7805045884</v>
      </c>
    </row>
    <row r="64" spans="1:5" x14ac:dyDescent="0.3">
      <c r="A64" s="9" t="s">
        <v>127</v>
      </c>
      <c r="B64" s="17" t="s">
        <v>131</v>
      </c>
      <c r="C64" s="1" t="str">
        <f>HYPERLINK("https://www.avito.ru/kingisepp/uslugi/sdat_metallolom_spb_i_lo_7805075141","Сдать металлолом СПБ и ло")</f>
        <v>Сдать металлолом СПБ и ло</v>
      </c>
      <c r="D64" t="s">
        <v>69</v>
      </c>
      <c r="E64" s="8" t="str">
        <f>HYPERLINK("https://www.avito.ru/kingisepp/uslugi/sdat_metallolom_spb_i_lo_7805075141","7805075141")</f>
        <v>7805075141</v>
      </c>
    </row>
    <row r="65" spans="1:5" x14ac:dyDescent="0.3">
      <c r="A65" s="9" t="s">
        <v>127</v>
      </c>
      <c r="B65" s="17" t="s">
        <v>131</v>
      </c>
      <c r="C65" s="1" t="str">
        <f>HYPERLINK("https://www.avito.ru/slantsy/uslugi/priem_i_vyvoz_metalloloma_samovyvoz_loma_7805085758","Прием и вывоз металлолома / Самовывоз лома")</f>
        <v>Прием и вывоз металлолома / Самовывоз лома</v>
      </c>
      <c r="D65" t="s">
        <v>71</v>
      </c>
      <c r="E65" s="8" t="str">
        <f>HYPERLINK("https://www.avito.ru/slantsy/uslugi/priem_i_vyvoz_metalloloma_samovyvoz_loma_7805085758","7805085758")</f>
        <v>7805085758</v>
      </c>
    </row>
    <row r="66" spans="1:5" x14ac:dyDescent="0.3">
      <c r="A66" s="9" t="s">
        <v>127</v>
      </c>
      <c r="B66" s="15" t="s">
        <v>131</v>
      </c>
      <c r="C66" s="1" t="str">
        <f>HYPERLINK("https://www.avito.ru/sankt-peterburg_zelenogorsk/uslugi/skupka_i_vyvoz_metalloloma_v_spb_i_lo_s_demontazhem_7805102664","Скупка и вывоз металлолома в СПб и ло с демонтажем")</f>
        <v>Скупка и вывоз металлолома в СПб и ло с демонтажем</v>
      </c>
      <c r="D66" t="s">
        <v>73</v>
      </c>
      <c r="E66" s="8" t="str">
        <f>HYPERLINK("https://www.avito.ru/sankt-peterburg_zelenogorsk/uslugi/skupka_i_vyvoz_metalloloma_v_spb_i_lo_s_demontazhem_7805102664","7805102664")</f>
        <v>7805102664</v>
      </c>
    </row>
    <row r="67" spans="1:5" x14ac:dyDescent="0.3">
      <c r="A67" s="9" t="s">
        <v>127</v>
      </c>
      <c r="B67" s="15" t="s">
        <v>131</v>
      </c>
      <c r="C67" s="1" t="str">
        <f>HYPERLINK("https://www.avito.ru/tajtsy/uslugi/skupka_i_vyvoz_metalloloma_v_spb_i_lo_s_demontazhem_7805103130","Скупка и вывоз металлолома в СПб и ло с демонтажем")</f>
        <v>Скупка и вывоз металлолома в СПб и ло с демонтажем</v>
      </c>
      <c r="D67" t="s">
        <v>75</v>
      </c>
      <c r="E67" s="8" t="str">
        <f>HYPERLINK("https://www.avito.ru/tajtsy/uslugi/skupka_i_vyvoz_metalloloma_v_spb_i_lo_s_demontazhem_7805103130","7805103130")</f>
        <v>7805103130</v>
      </c>
    </row>
    <row r="68" spans="1:5" x14ac:dyDescent="0.3">
      <c r="A68" s="9" t="s">
        <v>127</v>
      </c>
      <c r="B68" s="15" t="s">
        <v>131</v>
      </c>
      <c r="C68" s="1" t="str">
        <f>HYPERLINK("https://www.avito.ru/leningradskaya_oblast_kommunar/uslugi/skupka_i_vyvoz_metalloloma_v_spb_i_lo_s_demontazhem_7805106077","Скупка и вывоз металлолома в СПб и ло с демонтажем")</f>
        <v>Скупка и вывоз металлолома в СПб и ло с демонтажем</v>
      </c>
      <c r="D68" t="s">
        <v>77</v>
      </c>
      <c r="E68" s="8" t="str">
        <f>HYPERLINK("https://www.avito.ru/leningradskaya_oblast_kommunar/uslugi/skupka_i_vyvoz_metalloloma_v_spb_i_lo_s_demontazhem_7805106077","7805106077")</f>
        <v>7805106077</v>
      </c>
    </row>
    <row r="69" spans="1:5" x14ac:dyDescent="0.3">
      <c r="A69" s="9" t="s">
        <v>127</v>
      </c>
      <c r="B69" s="15" t="s">
        <v>137</v>
      </c>
      <c r="C69" s="1" t="str">
        <f>HYPERLINK("https://www.avito.ru/sankt-peterburg_zelenogorsk/uslugi/priem_provodov._skupka_7805175433","Прием проводов. Скупка")</f>
        <v>Прием проводов. Скупка</v>
      </c>
      <c r="D69" t="s">
        <v>73</v>
      </c>
      <c r="E69" s="8" t="str">
        <f>HYPERLINK("https://www.avito.ru/sankt-peterburg_zelenogorsk/uslugi/priem_provodov._skupka_7805175433","7805175433")</f>
        <v>7805175433</v>
      </c>
    </row>
    <row r="70" spans="1:5" x14ac:dyDescent="0.3">
      <c r="A70" s="9" t="s">
        <v>127</v>
      </c>
      <c r="B70" s="17" t="s">
        <v>137</v>
      </c>
      <c r="C70" s="1" t="str">
        <f>HYPERLINK("https://www.avito.ru/sankt-peterburg_pushkin/uslugi/priem_kabelya_provodov_7805201675","Прием кабеля, проводов")</f>
        <v>Прием кабеля, проводов</v>
      </c>
      <c r="D70" t="s">
        <v>43</v>
      </c>
      <c r="E70" s="8" t="str">
        <f>HYPERLINK("https://www.avito.ru/sankt-peterburg_pushkin/uslugi/priem_kabelya_provodov_7805201675","7805201675")</f>
        <v>7805201675</v>
      </c>
    </row>
    <row r="71" spans="1:5" x14ac:dyDescent="0.3">
      <c r="A71" s="9" t="s">
        <v>127</v>
      </c>
      <c r="B71" s="17" t="s">
        <v>131</v>
      </c>
      <c r="C71" s="1" t="str">
        <f>HYPERLINK("https://www.avito.ru/kommynary/uslugi/sdat_metallolom_spb_i_lo_7805206135","Сдать металлолом СПБ и ло")</f>
        <v>Сдать металлолом СПБ и ло</v>
      </c>
      <c r="D71" t="s">
        <v>82</v>
      </c>
      <c r="E71" s="8" t="str">
        <f>HYPERLINK("https://www.avito.ru/kommynary/uslugi/sdat_metallolom_spb_i_lo_7805206135","7805206135")</f>
        <v>7805206135</v>
      </c>
    </row>
    <row r="72" spans="1:5" x14ac:dyDescent="0.3">
      <c r="A72" s="9" t="s">
        <v>127</v>
      </c>
      <c r="B72" s="15" t="s">
        <v>131</v>
      </c>
      <c r="C72" s="1" t="str">
        <f>HYPERLINK("https://www.avito.ru/leningradskaya_oblast_lebyazhe/uslugi/priem_metalloloma_vyvoz_metalloloma_demontazh_7805241115","Прием металлолома / вывоз металлолома / демонтаж")</f>
        <v>Прием металлолома / вывоз металлолома / демонтаж</v>
      </c>
      <c r="D72" t="s">
        <v>84</v>
      </c>
      <c r="E72" s="8" t="str">
        <f>HYPERLINK("https://www.avito.ru/leningradskaya_oblast_lebyazhe/uslugi/priem_metalloloma_vyvoz_metalloloma_demontazh_7805241115","7805241115")</f>
        <v>7805241115</v>
      </c>
    </row>
    <row r="73" spans="1:5" x14ac:dyDescent="0.3">
      <c r="A73" s="9" t="s">
        <v>127</v>
      </c>
      <c r="B73" s="17" t="s">
        <v>138</v>
      </c>
      <c r="C73" s="1" t="str">
        <f>HYPERLINK("https://www.avito.ru/sankt-peterburg/uslugi/priem_metalloloma._nerzhaveyka_bu_7805260301","Прием металлолома. Нержавейка бу")</f>
        <v>Прием металлолома. Нержавейка бу</v>
      </c>
      <c r="D73" t="s">
        <v>85</v>
      </c>
      <c r="E73" s="8" t="str">
        <f>HYPERLINK("https://www.avito.ru/sankt-peterburg/uslugi/priem_metalloloma._nerzhaveyka_bu_7805260301","7805260301")</f>
        <v>7805260301</v>
      </c>
    </row>
    <row r="74" spans="1:5" x14ac:dyDescent="0.3">
      <c r="A74" s="9" t="s">
        <v>127</v>
      </c>
      <c r="B74" s="17" t="s">
        <v>131</v>
      </c>
      <c r="C74" s="1" t="str">
        <f>HYPERLINK("https://www.avito.ru/yanino-1/uslugi/priem_metalloloma_vyvoz_metalloloma_demontazh_7805268521","Прием металлолома / вывоз металлолома / демонтаж")</f>
        <v>Прием металлолома / вывоз металлолома / демонтаж</v>
      </c>
      <c r="D74" t="s">
        <v>87</v>
      </c>
      <c r="E74" s="8" t="str">
        <f>HYPERLINK("https://www.avito.ru/yanino-1/uslugi/priem_metalloloma_vyvoz_metalloloma_demontazh_7805268521","7805268521")</f>
        <v>7805268521</v>
      </c>
    </row>
    <row r="75" spans="1:5" x14ac:dyDescent="0.3">
      <c r="A75" s="9" t="s">
        <v>127</v>
      </c>
      <c r="B75" s="17" t="s">
        <v>131</v>
      </c>
      <c r="C75" s="1" t="str">
        <f>HYPERLINK("https://www.avito.ru/sankt-peterburg/uslugi/sdat_metallolom_spb_i_lo_7805276749","Сдать металлолом СПБ и ло")</f>
        <v>Сдать металлолом СПБ и ло</v>
      </c>
      <c r="D75" t="s">
        <v>88</v>
      </c>
      <c r="E75" s="8" t="str">
        <f>HYPERLINK("https://www.avito.ru/sankt-peterburg/uslugi/sdat_metallolom_spb_i_lo_7805276749","7805276749")</f>
        <v>7805276749</v>
      </c>
    </row>
    <row r="76" spans="1:5" x14ac:dyDescent="0.3">
      <c r="A76" s="9" t="s">
        <v>127</v>
      </c>
      <c r="B76" s="15" t="s">
        <v>131</v>
      </c>
      <c r="C76" s="1" t="str">
        <f>HYPERLINK("https://www.avito.ru/sankt-peterburg_peterhof/uslugi/priem_i_vyvoz_metalloloma_spb_i_lo_7805284931","Прием и вывоз металлолома СПБ и ло")</f>
        <v>Прием и вывоз металлолома СПБ и ло</v>
      </c>
      <c r="D76" t="s">
        <v>57</v>
      </c>
      <c r="E76" s="8" t="str">
        <f>HYPERLINK("https://www.avito.ru/sankt-peterburg_peterhof/uslugi/priem_i_vyvoz_metalloloma_spb_i_lo_7805284931","7805284931")</f>
        <v>7805284931</v>
      </c>
    </row>
    <row r="77" spans="1:5" x14ac:dyDescent="0.3">
      <c r="A77" s="9" t="s">
        <v>127</v>
      </c>
      <c r="B77" s="17" t="s">
        <v>137</v>
      </c>
      <c r="C77" s="1" t="str">
        <f>HYPERLINK("https://www.avito.ru/sankt-peterburg/uslugi/priem_kabelya_provodov_7805319819","Прием кабеля, проводов")</f>
        <v>Прием кабеля, проводов</v>
      </c>
      <c r="D77" t="s">
        <v>89</v>
      </c>
      <c r="E77" s="8" t="str">
        <f>HYPERLINK("https://www.avito.ru/sankt-peterburg/uslugi/priem_kabelya_provodov_7805319819","7805319819")</f>
        <v>7805319819</v>
      </c>
    </row>
    <row r="78" spans="1:5" x14ac:dyDescent="0.3">
      <c r="A78" s="9" t="s">
        <v>127</v>
      </c>
      <c r="B78" s="17" t="s">
        <v>131</v>
      </c>
      <c r="C78" s="1" t="str">
        <f>HYPERLINK("https://www.avito.ru/sankt-peterburg_peterhof/uslugi/skupka_i_vyvoz_metalloloma_v_spb_i_lo_s_demontazhem_7805340097","Скупка и вывоз металлолома в СПб и ло с демонтажем")</f>
        <v>Скупка и вывоз металлолома в СПб и ло с демонтажем</v>
      </c>
      <c r="D78" t="s">
        <v>57</v>
      </c>
      <c r="E78" s="8" t="str">
        <f>HYPERLINK("https://www.avito.ru/sankt-peterburg_peterhof/uslugi/skupka_i_vyvoz_metalloloma_v_spb_i_lo_s_demontazhem_7805340097","7805340097")</f>
        <v>7805340097</v>
      </c>
    </row>
    <row r="79" spans="1:5" x14ac:dyDescent="0.3">
      <c r="A79" s="9" t="s">
        <v>127</v>
      </c>
      <c r="B79" s="17" t="s">
        <v>131</v>
      </c>
      <c r="C79" s="1" t="str">
        <f>HYPERLINK("https://www.avito.ru/kudrovo/uslugi/priem_i_vyvoz_metalloloma_7805352862","Прием и вывоз металлолома")</f>
        <v>Прием и вывоз металлолома</v>
      </c>
      <c r="D79" t="s">
        <v>91</v>
      </c>
      <c r="E79" s="8" t="str">
        <f>HYPERLINK("https://www.avito.ru/kudrovo/uslugi/priem_i_vyvoz_metalloloma_7805352862","7805352862")</f>
        <v>7805352862</v>
      </c>
    </row>
    <row r="80" spans="1:5" x14ac:dyDescent="0.3">
      <c r="A80" s="9" t="s">
        <v>127</v>
      </c>
      <c r="B80" s="17" t="s">
        <v>134</v>
      </c>
      <c r="C80" s="1" t="str">
        <f>HYPERLINK("https://www.avito.ru/sankt-peterburg_peterhof/uslugi/priem_bu_akkumulyatorov_7805365415","Прием бу аккумуляторов")</f>
        <v>Прием бу аккумуляторов</v>
      </c>
      <c r="D80" t="s">
        <v>57</v>
      </c>
      <c r="E80" s="8" t="str">
        <f>HYPERLINK("https://www.avito.ru/sankt-peterburg_peterhof/uslugi/priem_bu_akkumulyatorov_7805365415","7805365415")</f>
        <v>7805365415</v>
      </c>
    </row>
    <row r="81" spans="1:5" x14ac:dyDescent="0.3">
      <c r="A81" s="9" t="s">
        <v>127</v>
      </c>
      <c r="B81" s="17" t="s">
        <v>136</v>
      </c>
      <c r="C81" s="1" t="str">
        <f>HYPERLINK("https://www.avito.ru/sankt-peterburg_zelenogorsk/uslugi/skupka_metalla._redkozemelnye_metally_7805406877","Скупка металла. Редкоземельные металлы")</f>
        <v>Скупка металла. Редкоземельные металлы</v>
      </c>
      <c r="D81" t="s">
        <v>73</v>
      </c>
      <c r="E81" s="8" t="str">
        <f>HYPERLINK("https://www.avito.ru/sankt-peterburg_zelenogorsk/uslugi/skupka_metalla._redkozemelnye_metally_7805406877","7805406877")</f>
        <v>7805406877</v>
      </c>
    </row>
    <row r="82" spans="1:5" x14ac:dyDescent="0.3">
      <c r="A82" s="9" t="s">
        <v>127</v>
      </c>
      <c r="B82" s="17" t="s">
        <v>131</v>
      </c>
      <c r="C82" s="1" t="str">
        <f>HYPERLINK("https://www.avito.ru/bugry/uslugi/sdat_metallolom_spb_i_lo_7805459729","Сдать металлолом СПБ и ло")</f>
        <v>Сдать металлолом СПБ и ло</v>
      </c>
      <c r="D82" t="s">
        <v>93</v>
      </c>
      <c r="E82" s="8" t="str">
        <f>HYPERLINK("https://www.avito.ru/bugry/uslugi/sdat_metallolom_spb_i_lo_7805459729","7805459729")</f>
        <v>7805459729</v>
      </c>
    </row>
    <row r="83" spans="1:5" x14ac:dyDescent="0.3">
      <c r="A83" s="9" t="s">
        <v>127</v>
      </c>
      <c r="B83" s="17" t="s">
        <v>131</v>
      </c>
      <c r="C83" s="1" t="str">
        <f>HYPERLINK("https://www.avito.ru/murino/uslugi/priem_i_vyvoz_metalloloma_samovyvoz_loma_7805472834","Прием и вывоз металлолома / Самовывоз лома")</f>
        <v>Прием и вывоз металлолома / Самовывоз лома</v>
      </c>
      <c r="D83" t="s">
        <v>95</v>
      </c>
      <c r="E83" s="8" t="str">
        <f>HYPERLINK("https://www.avito.ru/murino/uslugi/priem_i_vyvoz_metalloloma_samovyvoz_loma_7805472834","7805472834")</f>
        <v>7805472834</v>
      </c>
    </row>
    <row r="84" spans="1:5" x14ac:dyDescent="0.3">
      <c r="A84" s="9" t="s">
        <v>127</v>
      </c>
      <c r="B84" s="15" t="s">
        <v>131</v>
      </c>
      <c r="C84" s="1" t="str">
        <f>HYPERLINK("https://www.avito.ru/arhangelsk/uslugi/priem_i_vyvoz_metalloloma_samovyvoz_loma_7805494868","Прием и вывоз металлолома / Самовывоз лома")</f>
        <v>Прием и вывоз металлолома / Самовывоз лома</v>
      </c>
      <c r="D84" t="s">
        <v>28</v>
      </c>
      <c r="E84" s="8" t="str">
        <f>HYPERLINK("https://www.avito.ru/arhangelsk/uslugi/priem_i_vyvoz_metalloloma_samovyvoz_loma_7805494868","7805494868")</f>
        <v>7805494868</v>
      </c>
    </row>
    <row r="85" spans="1:5" x14ac:dyDescent="0.3">
      <c r="A85" s="9" t="s">
        <v>127</v>
      </c>
      <c r="B85" s="17" t="s">
        <v>134</v>
      </c>
      <c r="C85" s="1" t="str">
        <f>HYPERLINK("https://www.avito.ru/sankt-peterburg_kronstadt/uslugi/priem_bu_akkumulyatorov_akb_7805525534","Прием бу аккумуляторов АКБ")</f>
        <v>Прием бу аккумуляторов АКБ</v>
      </c>
      <c r="D85" t="s">
        <v>45</v>
      </c>
      <c r="E85" s="8" t="str">
        <f>HYPERLINK("https://www.avito.ru/sankt-peterburg_kronstadt/uslugi/priem_bu_akkumulyatorov_akb_7805525534","7805525534")</f>
        <v>7805525534</v>
      </c>
    </row>
    <row r="86" spans="1:5" x14ac:dyDescent="0.3">
      <c r="A86" s="9" t="s">
        <v>127</v>
      </c>
      <c r="B86" s="17" t="s">
        <v>131</v>
      </c>
      <c r="C86" s="1" t="str">
        <f>HYPERLINK("https://www.avito.ru/leningradskaya_oblast_kirovsk/uslugi/priem_i_vyvoz_metalloloma_7805526287","Прием и вывоз металлолома")</f>
        <v>Прием и вывоз металлолома</v>
      </c>
      <c r="D86" t="s">
        <v>97</v>
      </c>
      <c r="E86" s="8" t="str">
        <f>HYPERLINK("https://www.avito.ru/leningradskaya_oblast_kirovsk/uslugi/priem_i_vyvoz_metalloloma_7805526287","7805526287")</f>
        <v>7805526287</v>
      </c>
    </row>
    <row r="87" spans="1:5" x14ac:dyDescent="0.3">
      <c r="A87" s="9" t="s">
        <v>127</v>
      </c>
      <c r="B87" s="17" t="s">
        <v>131</v>
      </c>
      <c r="C87" s="1" t="str">
        <f>HYPERLINK("https://www.avito.ru/gatchina/uslugi/priem_i_vyvoz_metalloloma_7805570137","Прием и вывоз металлолома")</f>
        <v>Прием и вывоз металлолома</v>
      </c>
      <c r="D87" t="s">
        <v>59</v>
      </c>
      <c r="E87" s="8" t="str">
        <f>HYPERLINK("https://www.avito.ru/gatchina/uslugi/priem_i_vyvoz_metalloloma_7805570137","7805570137")</f>
        <v>7805570137</v>
      </c>
    </row>
    <row r="88" spans="1:5" x14ac:dyDescent="0.3">
      <c r="A88" s="9" t="s">
        <v>127</v>
      </c>
      <c r="B88" s="17" t="s">
        <v>131</v>
      </c>
      <c r="C88" s="1" t="str">
        <f>HYPERLINK("https://www.avito.ru/novoe_devyatkino/uslugi/skupka_i_vyvoz_metalloloma_v_spb_i_lo_s_demontazhem_7805577658","Скупка и вывоз металлолома в СПб и ло с демонтажем")</f>
        <v>Скупка и вывоз металлолома в СПб и ло с демонтажем</v>
      </c>
      <c r="D88" t="s">
        <v>99</v>
      </c>
      <c r="E88" s="8" t="str">
        <f>HYPERLINK("https://www.avito.ru/novoe_devyatkino/uslugi/skupka_i_vyvoz_metalloloma_v_spb_i_lo_s_demontazhem_7805577658","7805577658")</f>
        <v>7805577658</v>
      </c>
    </row>
    <row r="89" spans="1:5" x14ac:dyDescent="0.3">
      <c r="A89" s="9" t="s">
        <v>127</v>
      </c>
      <c r="B89" s="17" t="s">
        <v>131</v>
      </c>
      <c r="C89" s="1" t="str">
        <f>HYPERLINK("https://www.avito.ru/koltushi/uslugi/priem_metalloloma_vyvoz_metalloloma_demontazh_7805587603","Прием металлолома / вывоз металлолома / демонтаж")</f>
        <v>Прием металлолома / вывоз металлолома / демонтаж</v>
      </c>
      <c r="D89" t="s">
        <v>101</v>
      </c>
      <c r="E89" s="8" t="str">
        <f>HYPERLINK("https://www.avito.ru/koltushi/uslugi/priem_metalloloma_vyvoz_metalloloma_demontazh_7805587603","7805587603")</f>
        <v>7805587603</v>
      </c>
    </row>
    <row r="90" spans="1:5" x14ac:dyDescent="0.3">
      <c r="A90" s="9" t="s">
        <v>127</v>
      </c>
      <c r="B90" s="15" t="s">
        <v>131</v>
      </c>
      <c r="C90" s="1" t="str">
        <f>HYPERLINK("https://www.avito.ru/sankt-peterburg_zelenogorsk/uslugi/priem_i_vyvoz_metalloloma_samovyvoz_loma_7805635475","Прием и вывоз металлолома / Самовывоз лома")</f>
        <v>Прием и вывоз металлолома / Самовывоз лома</v>
      </c>
      <c r="D90" t="s">
        <v>73</v>
      </c>
      <c r="E90" s="8" t="str">
        <f>HYPERLINK("https://www.avito.ru/sankt-peterburg_zelenogorsk/uslugi/priem_i_vyvoz_metalloloma_samovyvoz_loma_7805635475","7805635475")</f>
        <v>7805635475</v>
      </c>
    </row>
    <row r="91" spans="1:5" x14ac:dyDescent="0.3">
      <c r="A91" s="9" t="s">
        <v>127</v>
      </c>
      <c r="B91" s="17" t="s">
        <v>131</v>
      </c>
      <c r="C91" s="1" t="str">
        <f>HYPERLINK("https://www.avito.ru/sertolovo/uslugi/sdat_metallolom_spb_i_lo_7805762058","Сдать металлолом СПБ и ло")</f>
        <v>Сдать металлолом СПБ и ло</v>
      </c>
      <c r="D91" t="s">
        <v>103</v>
      </c>
      <c r="E91" s="8" t="str">
        <f>HYPERLINK("https://www.avito.ru/sertolovo/uslugi/sdat_metallolom_spb_i_lo_7805762058","7805762058")</f>
        <v>7805762058</v>
      </c>
    </row>
    <row r="92" spans="1:5" x14ac:dyDescent="0.3">
      <c r="A92" s="9" t="s">
        <v>127</v>
      </c>
      <c r="B92" s="17" t="s">
        <v>136</v>
      </c>
      <c r="C92" s="1" t="str">
        <f>HYPERLINK("https://www.avito.ru/sankt-peterburg/uslugi/priem_metalloloma._redkozemelnye_metally_7805774797","Прием металлолома. Редкоземельные металлы")</f>
        <v>Прием металлолома. Редкоземельные металлы</v>
      </c>
      <c r="D92" t="s">
        <v>33</v>
      </c>
      <c r="E92" s="8" t="str">
        <f>HYPERLINK("https://www.avito.ru/sankt-peterburg/uslugi/priem_metalloloma._redkozemelnye_metally_7805774797","7805774797")</f>
        <v>7805774797</v>
      </c>
    </row>
    <row r="93" spans="1:5" x14ac:dyDescent="0.3">
      <c r="A93" s="9" t="s">
        <v>127</v>
      </c>
      <c r="B93" s="15" t="s">
        <v>131</v>
      </c>
      <c r="C93" s="1" t="str">
        <f>HYPERLINK("https://www.avito.ru/vysotsk/uslugi/priem_i_vyvoz_metalloloma_samovyvoz_loma_7805784940","Прием и вывоз металлолома / Самовывоз лома")</f>
        <v>Прием и вывоз металлолома / Самовывоз лома</v>
      </c>
      <c r="D93" t="s">
        <v>105</v>
      </c>
      <c r="E93" s="8" t="str">
        <f>HYPERLINK("https://www.avito.ru/vysotsk/uslugi/priem_i_vyvoz_metalloloma_samovyvoz_loma_7805784940","7805784940")</f>
        <v>7805784940</v>
      </c>
    </row>
    <row r="94" spans="1:5" x14ac:dyDescent="0.3">
      <c r="A94" s="9" t="s">
        <v>127</v>
      </c>
      <c r="B94" s="17" t="s">
        <v>131</v>
      </c>
      <c r="C94" s="1" t="str">
        <f>HYPERLINK("https://www.avito.ru/leningradskaya_oblast_nikolskoe/uslugi/priem_i_vyvoz_metalloloma_7805884690","Прием и вывоз металлолома")</f>
        <v>Прием и вывоз металлолома</v>
      </c>
      <c r="D94" t="s">
        <v>107</v>
      </c>
      <c r="E94" s="8" t="str">
        <f>HYPERLINK("https://www.avito.ru/leningradskaya_oblast_nikolskoe/uslugi/priem_i_vyvoz_metalloloma_7805884690","7805884690")</f>
        <v>7805884690</v>
      </c>
    </row>
    <row r="95" spans="1:5" x14ac:dyDescent="0.3">
      <c r="A95" s="9" t="s">
        <v>127</v>
      </c>
      <c r="B95" s="17" t="s">
        <v>131</v>
      </c>
      <c r="C95" s="1" t="str">
        <f>HYPERLINK("https://www.avito.ru/leningradskaya_oblast_primorsk/uslugi/priem_metalloloma_vyvoz_metalloloma_demontazh_7805887366","Прием металлолома / вывоз металлолома / демонтаж")</f>
        <v>Прием металлолома / вывоз металлолома / демонтаж</v>
      </c>
      <c r="D95" t="s">
        <v>109</v>
      </c>
      <c r="E95" s="8" t="str">
        <f>HYPERLINK("https://www.avito.ru/leningradskaya_oblast_primorsk/uslugi/priem_metalloloma_vyvoz_metalloloma_demontazh_7805887366","7805887366")</f>
        <v>7805887366</v>
      </c>
    </row>
    <row r="96" spans="1:5" x14ac:dyDescent="0.3">
      <c r="A96" s="9" t="s">
        <v>127</v>
      </c>
      <c r="B96" s="15" t="s">
        <v>135</v>
      </c>
      <c r="C96" s="1" t="str">
        <f>HYPERLINK("https://www.avito.ru/sankt-peterburg_sestroretsk/uslugi/skupka_radiodetaley_plat_priborov_7805915116","Скупка радиодеталей / плат / приборов")</f>
        <v>Скупка радиодеталей / плат / приборов</v>
      </c>
      <c r="D96" t="s">
        <v>80</v>
      </c>
      <c r="E96" s="8" t="str">
        <f>HYPERLINK("https://www.avito.ru/sankt-peterburg_sestroretsk/uslugi/skupka_radiodetaley_plat_priborov_7805915116","7805915116")</f>
        <v>7805915116</v>
      </c>
    </row>
    <row r="97" spans="1:5" x14ac:dyDescent="0.3">
      <c r="A97" s="9" t="s">
        <v>127</v>
      </c>
      <c r="B97" s="17" t="s">
        <v>131</v>
      </c>
      <c r="C97" s="1" t="str">
        <f>HYPERLINK("https://www.avito.ru/podporozhe/uslugi/priem_i_vyvoz_metalloloma_7805924301","Прием и вывоз металлолома")</f>
        <v>Прием и вывоз металлолома</v>
      </c>
      <c r="D97" t="s">
        <v>110</v>
      </c>
      <c r="E97" s="8" t="str">
        <f>HYPERLINK("https://www.avito.ru/podporozhe/uslugi/priem_i_vyvoz_metalloloma_7805924301","7805924301")</f>
        <v>7805924301</v>
      </c>
    </row>
    <row r="98" spans="1:5" x14ac:dyDescent="0.3">
      <c r="A98" s="9" t="s">
        <v>127</v>
      </c>
      <c r="B98" s="17" t="s">
        <v>131</v>
      </c>
      <c r="C98" s="1" t="str">
        <f>HYPERLINK("https://www.avito.ru/sankt-peterburg_sestroretsk/uslugi/skupka_i_vyvoz_metalloloma_v_spb_i_lo_s_demontazhem_7805929674","Скупка и вывоз металлолома в СПб и ло с демонтажем")</f>
        <v>Скупка и вывоз металлолома в СПб и ло с демонтажем</v>
      </c>
      <c r="D98" t="s">
        <v>80</v>
      </c>
      <c r="E98" s="8" t="str">
        <f>HYPERLINK("https://www.avito.ru/sankt-peterburg_sestroretsk/uslugi/skupka_i_vyvoz_metalloloma_v_spb_i_lo_s_demontazhem_7805929674","7805929674")</f>
        <v>7805929674</v>
      </c>
    </row>
    <row r="99" spans="1:5" x14ac:dyDescent="0.3">
      <c r="A99" s="9" t="s">
        <v>127</v>
      </c>
      <c r="B99" s="15" t="s">
        <v>136</v>
      </c>
      <c r="C99" s="1" t="str">
        <f>HYPERLINK("https://www.avito.ru/sankt-peterburg/uslugi/priem_struzhki_olovasdat_olovosdat_rzm_7836944674","Прием стружки Олова/сдать олово/сдать рзм")</f>
        <v>Прием стружки Олова/сдать олово/сдать рзм</v>
      </c>
      <c r="D99" t="s">
        <v>111</v>
      </c>
      <c r="E99" s="8" t="str">
        <f>HYPERLINK("https://www.avito.ru/sankt-peterburg/uslugi/priem_struzhki_olovasdat_olovosdat_rzm_7836944674","7836944674")</f>
        <v>7836944674</v>
      </c>
    </row>
    <row r="100" spans="1:5" x14ac:dyDescent="0.3">
      <c r="A100" s="9" t="s">
        <v>127</v>
      </c>
      <c r="B100" s="15" t="s">
        <v>136</v>
      </c>
      <c r="C100" s="1" t="str">
        <f>HYPERLINK("https://www.avito.ru/sankt-peterburg/uslugi/priem_samoplava_olovasdat_olovosdat_rzm_7837002497","Прием самоплава Олова/сдать олово/сдать рзм")</f>
        <v>Прием самоплава Олова/сдать олово/сдать рзм</v>
      </c>
      <c r="D100" t="s">
        <v>111</v>
      </c>
      <c r="E100" s="8" t="str">
        <f>HYPERLINK("https://www.avito.ru/sankt-peterburg/uslugi/priem_samoplava_olovasdat_olovosdat_rzm_7837002497","7837002497")</f>
        <v>7837002497</v>
      </c>
    </row>
    <row r="101" spans="1:5" x14ac:dyDescent="0.3">
      <c r="A101" s="9" t="s">
        <v>127</v>
      </c>
      <c r="B101" s="15" t="s">
        <v>136</v>
      </c>
      <c r="C101" s="1" t="str">
        <f>HYPERLINK("https://www.avito.ru/sankt-peterburg/uslugi/sdat_surmulom_surmypriem_loma_7837033412","Сдать сурьму/лом сурьмы/прием лома")</f>
        <v>Сдать сурьму/лом сурьмы/прием лома</v>
      </c>
      <c r="D101" t="s">
        <v>23</v>
      </c>
      <c r="E101" s="8" t="str">
        <f>HYPERLINK("https://www.avito.ru/sankt-peterburg/uslugi/sdat_surmulom_surmypriem_loma_7837033412","7837033412")</f>
        <v>7837033412</v>
      </c>
    </row>
    <row r="102" spans="1:5" x14ac:dyDescent="0.3">
      <c r="A102" s="9" t="s">
        <v>127</v>
      </c>
      <c r="B102" s="15" t="s">
        <v>136</v>
      </c>
      <c r="C102" s="1" t="str">
        <f>HYPERLINK("https://www.avito.ru/sankt-peterburg/uslugi/sdat_babbitbabbit_b16sdat_lom_7837033801","Сдать Баббит/Баббит Б16/сдать лом")</f>
        <v>Сдать Баббит/Баббит Б16/сдать лом</v>
      </c>
      <c r="D102" t="s">
        <v>11</v>
      </c>
      <c r="E102" s="8" t="str">
        <f>HYPERLINK("https://www.avito.ru/sankt-peterburg/uslugi/sdat_babbitbabbit_b16sdat_lom_7837033801","7837033801")</f>
        <v>7837033801</v>
      </c>
    </row>
    <row r="103" spans="1:5" x14ac:dyDescent="0.3">
      <c r="A103" s="9" t="s">
        <v>127</v>
      </c>
      <c r="B103" s="15" t="s">
        <v>131</v>
      </c>
      <c r="C103" s="1" t="str">
        <f>HYPERLINK("https://www.avito.ru/sankt-peterburg/uslugi/priem_metalloloma_vyvoz_metalloloma_demontazh_7837077941","Прием металлолома / вывоз металлолома / демонтаж")</f>
        <v>Прием металлолома / вывоз металлолома / демонтаж</v>
      </c>
      <c r="D103" t="s">
        <v>112</v>
      </c>
      <c r="E103" s="8" t="str">
        <f>HYPERLINK("https://www.avito.ru/sankt-peterburg/uslugi/priem_metalloloma_vyvoz_metalloloma_demontazh_7837077941","7837077941")</f>
        <v>7837077941</v>
      </c>
    </row>
    <row r="104" spans="1:5" x14ac:dyDescent="0.3">
      <c r="A104" s="9" t="s">
        <v>127</v>
      </c>
      <c r="B104" s="15" t="s">
        <v>139</v>
      </c>
      <c r="C104" s="1" t="str">
        <f>HYPERLINK("https://www.avito.ru/cherepovets/uslugi/priem_alyuminiya.priem_metalloloma.vyvoz_7837119666","Прием алюминия.Прием металлолома.Вывоз")</f>
        <v>Прием алюминия.Прием металлолома.Вывоз</v>
      </c>
      <c r="D104" t="s">
        <v>47</v>
      </c>
      <c r="E104" s="8" t="str">
        <f>HYPERLINK("https://www.avito.ru/cherepovets/uslugi/priem_alyuminiya.priem_metalloloma.vyvoz_7837119666","7837119666")</f>
        <v>7837119666</v>
      </c>
    </row>
    <row r="105" spans="1:5" x14ac:dyDescent="0.3">
      <c r="A105" s="9" t="s">
        <v>127</v>
      </c>
      <c r="B105" s="17" t="s">
        <v>138</v>
      </c>
      <c r="C105" s="1" t="str">
        <f>HYPERLINK("https://www.avito.ru/cherepovets/uslugi/vyvoz_metalloloma_nerzhaveyka_bu_7837128017","Вывоз металлолома / нержавейка бу")</f>
        <v>Вывоз металлолома / нержавейка бу</v>
      </c>
      <c r="D105" t="s">
        <v>47</v>
      </c>
      <c r="E105" s="8" t="str">
        <f>HYPERLINK("https://www.avito.ru/cherepovets/uslugi/vyvoz_metalloloma_nerzhaveyka_bu_7837128017","7837128017")</f>
        <v>7837128017</v>
      </c>
    </row>
    <row r="106" spans="1:5" x14ac:dyDescent="0.3">
      <c r="A106" s="9" t="s">
        <v>127</v>
      </c>
      <c r="B106" s="15" t="s">
        <v>136</v>
      </c>
      <c r="C106" s="1" t="str">
        <f>HYPERLINK("https://www.avito.ru/sankt-peterburg/uslugi/priem_olova_01pchsdat_olovosdat_rzm_7837140602","Прием Олова 01пч/сдать олово/сдать рзм")</f>
        <v>Прием Олова 01пч/сдать олово/сдать рзм</v>
      </c>
      <c r="D106" t="s">
        <v>48</v>
      </c>
      <c r="E106" s="8" t="str">
        <f>HYPERLINK("https://www.avito.ru/sankt-peterburg/uslugi/priem_olova_01pchsdat_olovosdat_rzm_7837140602","7837140602")</f>
        <v>7837140602</v>
      </c>
    </row>
    <row r="107" spans="1:5" x14ac:dyDescent="0.3">
      <c r="A107" s="9" t="s">
        <v>127</v>
      </c>
      <c r="B107" s="17" t="s">
        <v>140</v>
      </c>
      <c r="C107" s="1" t="str">
        <f>HYPERLINK("https://www.avito.ru/cherepovets/uslugi/vyvoz_metalloloma_skupka_medi_sdat_med_7837145209","Вывоз металлолома, скупка меди, сдать медь")</f>
        <v>Вывоз металлолома, скупка меди, сдать медь</v>
      </c>
      <c r="D107" t="s">
        <v>47</v>
      </c>
      <c r="E107" s="8" t="str">
        <f>HYPERLINK("https://www.avito.ru/cherepovets/uslugi/vyvoz_metalloloma_skupka_medi_sdat_med_7837145209","7837145209")</f>
        <v>7837145209</v>
      </c>
    </row>
    <row r="108" spans="1:5" x14ac:dyDescent="0.3">
      <c r="A108" s="9" t="s">
        <v>127</v>
      </c>
      <c r="B108" s="17" t="s">
        <v>139</v>
      </c>
      <c r="C108" s="1" t="str">
        <f>HYPERLINK("https://www.avito.ru/velikiy_novgorod/uslugi/priem_alyuminiya.priem_metalloloma.vyvoz_7837165853","Прием алюминия.Прием металлолома.Вывоз")</f>
        <v>Прием алюминия.Прием металлолома.Вывоз</v>
      </c>
      <c r="D108" t="s">
        <v>31</v>
      </c>
      <c r="E108" s="8" t="str">
        <f>HYPERLINK("https://www.avito.ru/velikiy_novgorod/uslugi/priem_alyuminiya.priem_metalloloma.vyvoz_7837165853","7837165853")</f>
        <v>7837165853</v>
      </c>
    </row>
    <row r="109" spans="1:5" x14ac:dyDescent="0.3">
      <c r="A109" s="9" t="s">
        <v>127</v>
      </c>
      <c r="B109" s="17" t="s">
        <v>131</v>
      </c>
      <c r="C109" s="1" t="str">
        <f>HYPERLINK("https://www.avito.ru/arhangelsk/uslugi/priem_metalloloma_vyvoz_metalloloma_demontazh_7837181998","Прием металлолома / вывоз металлолома / демонтаж")</f>
        <v>Прием металлолома / вывоз металлолома / демонтаж</v>
      </c>
      <c r="D109" t="s">
        <v>28</v>
      </c>
      <c r="E109" s="8" t="str">
        <f>HYPERLINK("https://www.avito.ru/arhangelsk/uslugi/priem_metalloloma_vyvoz_metalloloma_demontazh_7837181998","7837181998")</f>
        <v>7837181998</v>
      </c>
    </row>
    <row r="110" spans="1:5" x14ac:dyDescent="0.3">
      <c r="A110" s="9" t="s">
        <v>127</v>
      </c>
      <c r="B110" s="17" t="s">
        <v>136</v>
      </c>
      <c r="C110" s="1" t="str">
        <f>HYPERLINK("https://www.avito.ru/sankt-peterburg/uslugi/sdat_lom_tsinkapriem_tsinkapriem_loma_7837212042","Сдать лом цинка/прием цинка/прием лома")</f>
        <v>Сдать лом цинка/прием цинка/прием лома</v>
      </c>
      <c r="D110" t="s">
        <v>23</v>
      </c>
      <c r="E110" s="8" t="str">
        <f>HYPERLINK("https://www.avito.ru/sankt-peterburg/uslugi/sdat_lom_tsinkapriem_tsinkapriem_loma_7837212042","7837212042")</f>
        <v>7837212042</v>
      </c>
    </row>
    <row r="111" spans="1:5" x14ac:dyDescent="0.3">
      <c r="A111" s="9" t="s">
        <v>127</v>
      </c>
      <c r="B111" s="17" t="s">
        <v>136</v>
      </c>
      <c r="C111" s="1" t="str">
        <f>HYPERLINK("https://www.avito.ru/sankt-peterburg/uslugi/pokupaem_ferosplavypriem_loma_7837227242","Покупаем Феросплавы/прием лома")</f>
        <v>Покупаем Феросплавы/прием лома</v>
      </c>
      <c r="D111" t="s">
        <v>23</v>
      </c>
      <c r="E111" s="8" t="str">
        <f>HYPERLINK("https://www.avito.ru/sankt-peterburg/uslugi/pokupaem_ferosplavypriem_loma_7837227242","7837227242")</f>
        <v>7837227242</v>
      </c>
    </row>
    <row r="112" spans="1:5" x14ac:dyDescent="0.3">
      <c r="A112" s="9" t="s">
        <v>127</v>
      </c>
      <c r="B112" s="17" t="s">
        <v>136</v>
      </c>
      <c r="C112" s="1" t="str">
        <f>HYPERLINK("https://www.avito.ru/sankt-peterburg/uslugi/sdat_babbitbabbit_b83sdat_lom_7837441579","Сдать Баббит/Баббит Б83/сдать лом")</f>
        <v>Сдать Баббит/Баббит Б83/сдать лом</v>
      </c>
      <c r="D112" t="s">
        <v>23</v>
      </c>
      <c r="E112" s="8" t="str">
        <f>HYPERLINK("https://www.avito.ru/sankt-peterburg/uslugi/sdat_babbitbabbit_b83sdat_lom_7837441579","7837441579")</f>
        <v>7837441579</v>
      </c>
    </row>
    <row r="113" spans="1:5" x14ac:dyDescent="0.3">
      <c r="A113" s="9" t="s">
        <v>127</v>
      </c>
      <c r="B113" s="15" t="s">
        <v>136</v>
      </c>
      <c r="C113" s="1" t="str">
        <f>HYPERLINK("https://www.avito.ru/sankt-peterburg/uslugi/priem_niobiyaskupka_niobiyaskupka_loma_7837529524","Прием ниобия/скупка ниобия/скупка лома")</f>
        <v>Прием ниобия/скупка ниобия/скупка лома</v>
      </c>
      <c r="D113" t="s">
        <v>60</v>
      </c>
      <c r="E113" s="8" t="str">
        <f>HYPERLINK("https://www.avito.ru/sankt-peterburg/uslugi/priem_niobiyaskupka_niobiyaskupka_loma_7837529524","7837529524")</f>
        <v>7837529524</v>
      </c>
    </row>
    <row r="114" spans="1:5" x14ac:dyDescent="0.3">
      <c r="A114" s="9" t="s">
        <v>127</v>
      </c>
      <c r="B114" s="15" t="s">
        <v>139</v>
      </c>
      <c r="C114" s="1" t="str">
        <f>HYPERLINK("https://www.avito.ru/arhangelsk/uslugi/priem_alyuminiya.priem_metalloloma.vyvoz_7837606056","Прием алюминия.Прием металлолома.Вывоз")</f>
        <v>Прием алюминия.Прием металлолома.Вывоз</v>
      </c>
      <c r="D114" t="s">
        <v>28</v>
      </c>
      <c r="E114" s="8" t="str">
        <f>HYPERLINK("https://www.avito.ru/arhangelsk/uslugi/priem_alyuminiya.priem_metalloloma.vyvoz_7837606056","7837606056")</f>
        <v>7837606056</v>
      </c>
    </row>
    <row r="115" spans="1:5" x14ac:dyDescent="0.3">
      <c r="A115" s="9" t="s">
        <v>127</v>
      </c>
      <c r="B115" s="15" t="s">
        <v>138</v>
      </c>
      <c r="C115" s="1" t="str">
        <f>HYPERLINK("https://www.avito.ru/arhangelsk/uslugi/vyvoz_metalloloma_nerzhaveyka_bu_7837610029","Вывоз металлолома / нержавейка бу")</f>
        <v>Вывоз металлолома / нержавейка бу</v>
      </c>
      <c r="D115" t="s">
        <v>28</v>
      </c>
      <c r="E115" s="8" t="str">
        <f>HYPERLINK("https://www.avito.ru/arhangelsk/uslugi/vyvoz_metalloloma_nerzhaveyka_bu_7837610029","7837610029")</f>
        <v>7837610029</v>
      </c>
    </row>
    <row r="116" spans="1:5" x14ac:dyDescent="0.3">
      <c r="A116" s="9" t="s">
        <v>127</v>
      </c>
      <c r="B116" s="15" t="s">
        <v>136</v>
      </c>
      <c r="C116" s="1" t="str">
        <f>HYPERLINK("https://www.avito.ru/sankt-peterburg/uslugi/skupka_volframa_vndsdat_volfram_7837641405","Скупка Вольфрама внд/сдать вольфрам")</f>
        <v>Скупка Вольфрама внд/сдать вольфрам</v>
      </c>
      <c r="D116" t="s">
        <v>23</v>
      </c>
      <c r="E116" s="8" t="str">
        <f>HYPERLINK("https://www.avito.ru/sankt-peterburg/uslugi/skupka_volframa_vndsdat_volfram_7837641405","7837641405")</f>
        <v>7837641405</v>
      </c>
    </row>
    <row r="117" spans="1:5" x14ac:dyDescent="0.3">
      <c r="A117" s="9" t="s">
        <v>127</v>
      </c>
      <c r="B117" s="15" t="s">
        <v>139</v>
      </c>
      <c r="C117" s="1" t="str">
        <f>HYPERLINK("https://www.avito.ru/petrozavodsk/uslugi/priem_alyuminiya.priem_metalloloma.vyvoz_7837653139","Прием алюминия.Прием металлолома.Вывоз")</f>
        <v>Прием алюминия.Прием металлолома.Вывоз</v>
      </c>
      <c r="D117" t="s">
        <v>18</v>
      </c>
      <c r="E117" s="8" t="str">
        <f>HYPERLINK("https://www.avito.ru/petrozavodsk/uslugi/priem_alyuminiya.priem_metalloloma.vyvoz_7837653139","7837653139")</f>
        <v>7837653139</v>
      </c>
    </row>
    <row r="118" spans="1:5" x14ac:dyDescent="0.3">
      <c r="A118" s="9" t="s">
        <v>127</v>
      </c>
      <c r="B118" s="15" t="s">
        <v>140</v>
      </c>
      <c r="C118" s="1" t="str">
        <f>HYPERLINK("https://www.avito.ru/velikiy_novgorod/uslugi/vyvoz_metalloloma_skupka_medi_sdat_med_7837695679","Вывоз металлолома, скупка меди, сдать медь")</f>
        <v>Вывоз металлолома, скупка меди, сдать медь</v>
      </c>
      <c r="D118" t="s">
        <v>31</v>
      </c>
      <c r="E118" s="8" t="str">
        <f>HYPERLINK("https://www.avito.ru/velikiy_novgorod/uslugi/vyvoz_metalloloma_skupka_medi_sdat_med_7837695679","7837695679")</f>
        <v>7837695679</v>
      </c>
    </row>
    <row r="119" spans="1:5" x14ac:dyDescent="0.3">
      <c r="A119" s="9" t="s">
        <v>127</v>
      </c>
      <c r="B119" s="15" t="s">
        <v>136</v>
      </c>
      <c r="C119" s="1" t="str">
        <f>HYPERLINK("https://www.avito.ru/sankt-peterburg/uslugi/sdat_pripoy_pos_18-90priem_loma_7837735817","Сдать Припой пос 18-90/прием лома")</f>
        <v>Сдать Припой пос 18-90/прием лома</v>
      </c>
      <c r="D119" t="s">
        <v>111</v>
      </c>
      <c r="E119" s="8" t="str">
        <f>HYPERLINK("https://www.avito.ru/sankt-peterburg/uslugi/sdat_pripoy_pos_18-90priem_loma_7837735817","7837735817")</f>
        <v>7837735817</v>
      </c>
    </row>
    <row r="120" spans="1:5" x14ac:dyDescent="0.3">
      <c r="A120" s="9" t="s">
        <v>127</v>
      </c>
      <c r="B120" s="15" t="s">
        <v>136</v>
      </c>
      <c r="C120" s="1" t="str">
        <f>HYPERLINK("https://www.avito.ru/sankt-peterburg/uslugi/sdat_volfram_chistyyskupka_loma_7837771156","Сдать Вольфрам чистый/скупка лома")</f>
        <v>Сдать Вольфрам чистый/скупка лома</v>
      </c>
      <c r="D120" t="s">
        <v>62</v>
      </c>
      <c r="E120" s="8" t="str">
        <f>HYPERLINK("https://www.avito.ru/sankt-peterburg/uslugi/sdat_volfram_chistyyskupka_loma_7837771156","7837771156")</f>
        <v>7837771156</v>
      </c>
    </row>
    <row r="121" spans="1:5" x14ac:dyDescent="0.3">
      <c r="A121" s="9" t="s">
        <v>127</v>
      </c>
      <c r="B121" s="15" t="s">
        <v>131</v>
      </c>
      <c r="C121" s="1" t="str">
        <f>HYPERLINK("https://www.avito.ru/sankt-peterburg/uslugi/vyvoz_i_priem_metalloloma_samovyvoz_loma_demontazh_7837810979","Вывоз и прием металлолома Самовывоз лома Демонтаж")</f>
        <v>Вывоз и прием металлолома Самовывоз лома Демонтаж</v>
      </c>
      <c r="D121" t="s">
        <v>32</v>
      </c>
      <c r="E121" s="8" t="str">
        <f>HYPERLINK("https://www.avito.ru/sankt-peterburg/uslugi/vyvoz_i_priem_metalloloma_samovyvoz_loma_demontazh_7837810979","7837810979")</f>
        <v>7837810979</v>
      </c>
    </row>
    <row r="122" spans="1:5" x14ac:dyDescent="0.3">
      <c r="A122" s="9" t="s">
        <v>127</v>
      </c>
      <c r="B122" s="15" t="s">
        <v>136</v>
      </c>
      <c r="C122" s="1" t="str">
        <f>HYPERLINK("https://www.avito.ru/sankt-peterburg/uslugi/sdat_lom_tsirkoniyapriem_tsirkoniyapriem_loma_7837861563","Сдать лом циркония/прием циркония/прием лома")</f>
        <v>Сдать лом циркония/прием циркония/прием лома</v>
      </c>
      <c r="D122" t="s">
        <v>62</v>
      </c>
      <c r="E122" s="8" t="str">
        <f>HYPERLINK("https://www.avito.ru/sankt-peterburg/uslugi/sdat_lom_tsirkoniyapriem_tsirkoniyapriem_loma_7837861563","7837861563")</f>
        <v>7837861563</v>
      </c>
    </row>
    <row r="123" spans="1:5" x14ac:dyDescent="0.3">
      <c r="A123" s="9" t="s">
        <v>127</v>
      </c>
      <c r="B123" s="15" t="s">
        <v>136</v>
      </c>
      <c r="C123" s="1" t="str">
        <f>HYPERLINK("https://www.avito.ru/sankt-peterburg/uslugi/sdat_struzhku_volframasdat_volfram_7837884228","Сдать стружку Вольфрама/сдать вольфрам")</f>
        <v>Сдать стружку Вольфрама/сдать вольфрам</v>
      </c>
      <c r="D123" t="s">
        <v>62</v>
      </c>
      <c r="E123" s="8" t="str">
        <f>HYPERLINK("https://www.avito.ru/sankt-peterburg/uslugi/sdat_struzhku_volframasdat_volfram_7837884228","7837884228")</f>
        <v>7837884228</v>
      </c>
    </row>
    <row r="124" spans="1:5" x14ac:dyDescent="0.3">
      <c r="A124" s="9" t="s">
        <v>127</v>
      </c>
      <c r="B124" s="15" t="s">
        <v>136</v>
      </c>
      <c r="C124" s="1" t="str">
        <f>HYPERLINK("https://www.avito.ru/sankt-peterburg/uslugi/skupka_loma_volframasdat_volfram_7837889509","Скупка лома Вольфрама/сдать вольфрам")</f>
        <v>Скупка лома Вольфрама/сдать вольфрам</v>
      </c>
      <c r="D124" t="s">
        <v>23</v>
      </c>
      <c r="E124" s="8" t="str">
        <f>HYPERLINK("https://www.avito.ru/sankt-peterburg/uslugi/skupka_loma_volframasdat_volfram_7837889509","7837889509")</f>
        <v>7837889509</v>
      </c>
    </row>
    <row r="125" spans="1:5" x14ac:dyDescent="0.3">
      <c r="A125" s="9" t="s">
        <v>127</v>
      </c>
      <c r="B125" s="15" t="s">
        <v>136</v>
      </c>
      <c r="C125" s="1" t="str">
        <f>HYPERLINK("https://www.avito.ru/sankt-peterburg/uslugi/sdat_lom_titanapriem_titanapriem_loma_7837891840","Сдать лом титана/прием титана/прием лома")</f>
        <v>Сдать лом титана/прием титана/прием лома</v>
      </c>
      <c r="D125" t="s">
        <v>23</v>
      </c>
      <c r="E125" s="8" t="str">
        <f>HYPERLINK("https://www.avito.ru/sankt-peterburg/uslugi/sdat_lom_titanapriem_titanapriem_loma_7837891840","7837891840")</f>
        <v>7837891840</v>
      </c>
    </row>
    <row r="126" spans="1:5" x14ac:dyDescent="0.3">
      <c r="A126" s="9" t="s">
        <v>127</v>
      </c>
      <c r="B126" s="15" t="s">
        <v>136</v>
      </c>
      <c r="C126" s="1" t="str">
        <f>HYPERLINK("https://www.avito.ru/sankt-peterburg/uslugi/sdat_reztsy_vktk_s_naplavkamipriem_loma_7837901257","Сдать резцы вктк с наплавками/прием лома")</f>
        <v>Сдать резцы вктк с наплавками/прием лома</v>
      </c>
      <c r="D126" t="s">
        <v>23</v>
      </c>
      <c r="E126" s="8" t="str">
        <f>HYPERLINK("https://www.avito.ru/sankt-peterburg/uslugi/sdat_reztsy_vktk_s_naplavkamipriem_loma_7837901257","7837901257")</f>
        <v>7837901257</v>
      </c>
    </row>
    <row r="127" spans="1:5" x14ac:dyDescent="0.3">
      <c r="A127" s="9" t="s">
        <v>127</v>
      </c>
      <c r="B127" s="15" t="s">
        <v>131</v>
      </c>
      <c r="C127" s="1" t="str">
        <f>HYPERLINK("https://www.avito.ru/pskov/uslugi/priem_i_vyvoz_metalloloma_spb_i_lo_7868930643","Прием и вывоз металлолома СПБ и ло")</f>
        <v>Прием и вывоз металлолома СПБ и ло</v>
      </c>
      <c r="D127" t="s">
        <v>38</v>
      </c>
      <c r="E127" s="8" t="str">
        <f>HYPERLINK("https://www.avito.ru/pskov/uslugi/priem_i_vyvoz_metalloloma_spb_i_lo_7868930643","7868930643")</f>
        <v>7868930643</v>
      </c>
    </row>
    <row r="128" spans="1:5" x14ac:dyDescent="0.3">
      <c r="A128" s="9" t="s">
        <v>127</v>
      </c>
      <c r="B128" s="17" t="s">
        <v>132</v>
      </c>
      <c r="C128" s="1" t="str">
        <f>HYPERLINK("https://www.avito.ru/sankt-peterburg/uslugi/sdat_chermet_priem_vyvoz_metalloloma_7868969238","Сдать чермет Прием Вывоз металлолома")</f>
        <v>Сдать чермет Прием Вывоз металлолома</v>
      </c>
      <c r="D128" t="s">
        <v>32</v>
      </c>
      <c r="E128" s="8" t="str">
        <f>HYPERLINK("https://www.avito.ru/sankt-peterburg/uslugi/sdat_chermet_priem_vyvoz_metalloloma_7868969238","7868969238")</f>
        <v>7868969238</v>
      </c>
    </row>
    <row r="129" spans="1:5" x14ac:dyDescent="0.3">
      <c r="A129" s="9" t="s">
        <v>127</v>
      </c>
      <c r="B129" s="15" t="s">
        <v>131</v>
      </c>
      <c r="C129" s="1" t="str">
        <f>HYPERLINK("https://www.avito.ru/vologda/uslugi/priem_metalloloma_vyvoz_metalloloma_demontazh_7869024487","Прием металлолома / вывоз металлолома / демонтаж")</f>
        <v>Прием металлолома / вывоз металлолома / демонтаж</v>
      </c>
      <c r="D129" t="s">
        <v>41</v>
      </c>
      <c r="E129" s="8" t="str">
        <f>HYPERLINK("https://www.avito.ru/vologda/uslugi/priem_metalloloma_vyvoz_metalloloma_demontazh_7869024487","7869024487")</f>
        <v>7869024487</v>
      </c>
    </row>
    <row r="130" spans="1:5" x14ac:dyDescent="0.3">
      <c r="A130" s="9" t="s">
        <v>127</v>
      </c>
      <c r="B130" s="15" t="s">
        <v>131</v>
      </c>
      <c r="C130" s="1" t="str">
        <f>HYPERLINK("https://www.avito.ru/vologda/uslugi/priem_i_vyvoz_metalloloma_spb_i_lo_7869146890","Прием и вывоз металлолома СПБ и ло")</f>
        <v>Прием и вывоз металлолома СПБ и ло</v>
      </c>
      <c r="D130" t="s">
        <v>41</v>
      </c>
      <c r="E130" s="8" t="str">
        <f>HYPERLINK("https://www.avito.ru/vologda/uslugi/priem_i_vyvoz_metalloloma_spb_i_lo_7869146890","7869146890")</f>
        <v>7869146890</v>
      </c>
    </row>
    <row r="131" spans="1:5" x14ac:dyDescent="0.3">
      <c r="A131" s="9" t="s">
        <v>127</v>
      </c>
      <c r="B131" s="15" t="s">
        <v>131</v>
      </c>
      <c r="C131" s="1" t="str">
        <f>HYPERLINK("https://www.avito.ru/pskov/uslugi/priem_metalloloma_vyvoz_metalloloma_demontazh_7869154448","Прием металлолома / вывоз металлолома / демонтаж")</f>
        <v>Прием металлолома / вывоз металлолома / демонтаж</v>
      </c>
      <c r="D131" t="s">
        <v>38</v>
      </c>
      <c r="E131" s="8" t="str">
        <f>HYPERLINK("https://www.avito.ru/pskov/uslugi/priem_metalloloma_vyvoz_metalloloma_demontazh_7869154448","7869154448")</f>
        <v>7869154448</v>
      </c>
    </row>
    <row r="132" spans="1:5" x14ac:dyDescent="0.3">
      <c r="A132" s="9" t="s">
        <v>127</v>
      </c>
      <c r="B132" s="15" t="s">
        <v>133</v>
      </c>
      <c r="C132" s="1" t="str">
        <f>HYPERLINK("https://www.avito.ru/cherepovets/uslugi/priem_tsvetnogo_metalloloma_7869225639","Прием цветного металлолома")</f>
        <v>Прием цветного металлолома</v>
      </c>
      <c r="D132" t="s">
        <v>47</v>
      </c>
      <c r="E132" s="8" t="str">
        <f>HYPERLINK("https://www.avito.ru/cherepovets/uslugi/priem_tsvetnogo_metalloloma_7869225639","7869225639")</f>
        <v>7869225639</v>
      </c>
    </row>
    <row r="133" spans="1:5" x14ac:dyDescent="0.3">
      <c r="A133" s="9" t="s">
        <v>127</v>
      </c>
      <c r="B133" s="17" t="s">
        <v>137</v>
      </c>
      <c r="C133" s="1" t="str">
        <f>HYPERLINK("https://www.avito.ru/sankt-peterburg/uslugi/priem_provodov._skupka_kabelya_provodov_7869241067","Прием проводов. Скупка кабеля проводов")</f>
        <v>Прием проводов. Скупка кабеля проводов</v>
      </c>
      <c r="D133" t="s">
        <v>113</v>
      </c>
      <c r="E133" s="8" t="str">
        <f>HYPERLINK("https://www.avito.ru/sankt-peterburg/uslugi/priem_provodov._skupka_kabelya_provodov_7869241067","7869241067")</f>
        <v>7869241067</v>
      </c>
    </row>
    <row r="134" spans="1:5" x14ac:dyDescent="0.3">
      <c r="A134" s="9" t="s">
        <v>127</v>
      </c>
      <c r="B134" s="17" t="s">
        <v>131</v>
      </c>
      <c r="C134" s="1" t="str">
        <f>HYPERLINK("https://www.avito.ru/vologda/uslugi/priem_i_vyvoz_metalloloma_7869259759","Прием и вывоз металлолома")</f>
        <v>Прием и вывоз металлолома</v>
      </c>
      <c r="D134" t="s">
        <v>41</v>
      </c>
      <c r="E134" s="8" t="str">
        <f>HYPERLINK("https://www.avito.ru/vologda/uslugi/priem_i_vyvoz_metalloloma_7869259759","7869259759")</f>
        <v>7869259759</v>
      </c>
    </row>
    <row r="135" spans="1:5" x14ac:dyDescent="0.3">
      <c r="A135" s="9" t="s">
        <v>127</v>
      </c>
      <c r="B135" s="17" t="s">
        <v>137</v>
      </c>
      <c r="C135" s="1" t="str">
        <f>HYPERLINK("https://www.avito.ru/sankt-peterburg/uslugi/priem_provodov._skupka_7869339176","Прием проводов. Скупка")</f>
        <v>Прием проводов. Скупка</v>
      </c>
      <c r="D135" t="s">
        <v>64</v>
      </c>
      <c r="E135" s="8" t="str">
        <f>HYPERLINK("https://www.avito.ru/sankt-peterburg/uslugi/priem_provodov._skupka_7869339176","7869339176")</f>
        <v>7869339176</v>
      </c>
    </row>
    <row r="136" spans="1:5" x14ac:dyDescent="0.3">
      <c r="A136" s="9" t="s">
        <v>127</v>
      </c>
      <c r="B136" s="17" t="s">
        <v>137</v>
      </c>
      <c r="C136" s="1" t="str">
        <f>HYPERLINK("https://www.avito.ru/sankt-peterburg/uslugi/priem_kabelya_skupka_kabelya_provodov_7869349435","Прием кабеля Скупка кабеля проводов")</f>
        <v>Прием кабеля Скупка кабеля проводов</v>
      </c>
      <c r="D136" t="s">
        <v>114</v>
      </c>
      <c r="E136" s="8" t="str">
        <f>HYPERLINK("https://www.avito.ru/sankt-peterburg/uslugi/priem_kabelya_skupka_kabelya_provodov_7869349435","7869349435")</f>
        <v>7869349435</v>
      </c>
    </row>
    <row r="137" spans="1:5" x14ac:dyDescent="0.3">
      <c r="A137" s="9" t="s">
        <v>127</v>
      </c>
      <c r="B137" s="17" t="s">
        <v>133</v>
      </c>
      <c r="C137" s="1" t="str">
        <f>HYPERLINK("https://www.avito.ru/sankt-peterburg/uslugi/priem_tsvetnogo_metalloloma_7869389947","Прием цветного металлолома")</f>
        <v>Прием цветного металлолома</v>
      </c>
      <c r="D137" t="s">
        <v>115</v>
      </c>
      <c r="E137" s="8" t="str">
        <f>HYPERLINK("https://www.avito.ru/sankt-peterburg/uslugi/priem_tsvetnogo_metalloloma_7869389947","7869389947")</f>
        <v>7869389947</v>
      </c>
    </row>
    <row r="138" spans="1:5" x14ac:dyDescent="0.3">
      <c r="A138" s="9" t="s">
        <v>127</v>
      </c>
      <c r="B138" s="17" t="s">
        <v>131</v>
      </c>
      <c r="C138" s="1" t="str">
        <f>HYPERLINK("https://www.avito.ru/pskov/uslugi/priem_i_vyvoz_metalloloma_7869424429","Прием и вывоз металлолома")</f>
        <v>Прием и вывоз металлолома</v>
      </c>
      <c r="D138" t="s">
        <v>38</v>
      </c>
      <c r="E138" s="8" t="str">
        <f>HYPERLINK("https://www.avito.ru/pskov/uslugi/priem_i_vyvoz_metalloloma_7869424429","7869424429")</f>
        <v>7869424429</v>
      </c>
    </row>
    <row r="139" spans="1:5" x14ac:dyDescent="0.3">
      <c r="A139" s="9" t="s">
        <v>127</v>
      </c>
      <c r="B139" s="17" t="s">
        <v>133</v>
      </c>
      <c r="C139" s="1" t="str">
        <f>HYPERLINK("https://www.avito.ru/velikiy_novgorod/uslugi/priem_tsvetnogo_metalloloma_7869442767","Прием цветного металлолома")</f>
        <v>Прием цветного металлолома</v>
      </c>
      <c r="D139" t="s">
        <v>31</v>
      </c>
      <c r="E139" s="8" t="str">
        <f>HYPERLINK("https://www.avito.ru/velikiy_novgorod/uslugi/priem_tsvetnogo_metalloloma_7869442767","7869442767")</f>
        <v>7869442767</v>
      </c>
    </row>
    <row r="140" spans="1:5" x14ac:dyDescent="0.3">
      <c r="A140" s="9" t="s">
        <v>127</v>
      </c>
      <c r="B140" s="17" t="s">
        <v>135</v>
      </c>
      <c r="C140" s="1" t="str">
        <f>HYPERLINK("https://www.avito.ru/arhangelsk/uslugi/priem_plat_i_elektronnogo_loma._skupka_plat_7869446806","Прием плат и электронного лома. Скупка плат")</f>
        <v>Прием плат и электронного лома. Скупка плат</v>
      </c>
      <c r="D140" t="s">
        <v>28</v>
      </c>
      <c r="E140" s="8" t="str">
        <f>HYPERLINK("https://www.avito.ru/arhangelsk/uslugi/priem_plat_i_elektronnogo_loma._skupka_plat_7869446806","7869446806")</f>
        <v>7869446806</v>
      </c>
    </row>
    <row r="141" spans="1:5" x14ac:dyDescent="0.3">
      <c r="A141" s="9" t="s">
        <v>127</v>
      </c>
      <c r="B141" s="17" t="s">
        <v>131</v>
      </c>
      <c r="C141" s="1" t="str">
        <f>HYPERLINK("https://www.avito.ru/pskov/uslugi/priem_i_vyvoz_metalloloma_spb_i_lo_7869497841","Прием и вывоз металлолома СПБ и ло")</f>
        <v>Прием и вывоз металлолома СПБ и ло</v>
      </c>
      <c r="D141" t="s">
        <v>38</v>
      </c>
      <c r="E141" s="8" t="str">
        <f>HYPERLINK("https://www.avito.ru/pskov/uslugi/priem_i_vyvoz_metalloloma_spb_i_lo_7869497841","7869497841")</f>
        <v>7869497841</v>
      </c>
    </row>
    <row r="142" spans="1:5" x14ac:dyDescent="0.3">
      <c r="A142" s="9" t="s">
        <v>127</v>
      </c>
      <c r="B142" s="17" t="s">
        <v>133</v>
      </c>
      <c r="C142" s="1" t="str">
        <f>HYPERLINK("https://www.avito.ru/vologda/uslugi/priem_tsvetnogo_metalloloma_7869556862","Прием цветного металлолома")</f>
        <v>Прием цветного металлолома</v>
      </c>
      <c r="D142" t="s">
        <v>41</v>
      </c>
      <c r="E142" s="8" t="str">
        <f>HYPERLINK("https://www.avito.ru/vologda/uslugi/priem_tsvetnogo_metalloloma_7869556862","7869556862")</f>
        <v>7869556862</v>
      </c>
    </row>
    <row r="143" spans="1:5" x14ac:dyDescent="0.3">
      <c r="A143" s="9" t="s">
        <v>127</v>
      </c>
      <c r="B143" s="15" t="s">
        <v>136</v>
      </c>
      <c r="C143" s="1" t="str">
        <f>HYPERLINK("https://www.avito.ru/arhangelsk/uslugi/skupka_metalla._redkozemelnye_metally_7869633170","Скупка металла. Редкоземельные металлы")</f>
        <v>Скупка металла. Редкоземельные металлы</v>
      </c>
      <c r="D143" t="s">
        <v>28</v>
      </c>
      <c r="E143" s="8" t="str">
        <f>HYPERLINK("https://www.avito.ru/arhangelsk/uslugi/skupka_metalla._redkozemelnye_metally_7869633170","7869633170")</f>
        <v>7869633170</v>
      </c>
    </row>
    <row r="144" spans="1:5" x14ac:dyDescent="0.3">
      <c r="A144" s="9" t="s">
        <v>127</v>
      </c>
      <c r="B144" s="15" t="s">
        <v>136</v>
      </c>
      <c r="C144" s="1" t="str">
        <f>HYPERLINK("https://www.avito.ru/cherepovets/uslugi/skupka_metalla._redkozemelnye_metally_7869635987","Скупка металла. Редкоземельные металлы")</f>
        <v>Скупка металла. Редкоземельные металлы</v>
      </c>
      <c r="D144" t="s">
        <v>47</v>
      </c>
      <c r="E144" s="8" t="str">
        <f>HYPERLINK("https://www.avito.ru/cherepovets/uslugi/skupka_metalla._redkozemelnye_metally_7869635987","7869635987")</f>
        <v>7869635987</v>
      </c>
    </row>
    <row r="145" spans="1:5" x14ac:dyDescent="0.3">
      <c r="A145" s="9" t="s">
        <v>127</v>
      </c>
      <c r="B145" s="17" t="s">
        <v>131</v>
      </c>
      <c r="C145" s="1" t="str">
        <f>HYPERLINK("https://www.avito.ru/vologda/uslugi/priem_i_vyvoz_metalloloma_spb_i_lo_7869662808","Прием и вывоз металлолома СПБ и ло")</f>
        <v>Прием и вывоз металлолома СПБ и ло</v>
      </c>
      <c r="D145" t="s">
        <v>41</v>
      </c>
      <c r="E145" s="8" t="str">
        <f>HYPERLINK("https://www.avito.ru/vologda/uslugi/priem_i_vyvoz_metalloloma_spb_i_lo_7869662808","7869662808")</f>
        <v>7869662808</v>
      </c>
    </row>
    <row r="146" spans="1:5" x14ac:dyDescent="0.3">
      <c r="A146" s="9" t="s">
        <v>127</v>
      </c>
      <c r="B146" s="17" t="s">
        <v>133</v>
      </c>
      <c r="C146" s="1" t="str">
        <f>HYPERLINK("https://www.avito.ru/pskov/uslugi/priem_tsvetnogo_metalloloma_7869666146","Прием цветного металлолома")</f>
        <v>Прием цветного металлолома</v>
      </c>
      <c r="D146" t="s">
        <v>38</v>
      </c>
      <c r="E146" s="8" t="str">
        <f>HYPERLINK("https://www.avito.ru/pskov/uslugi/priem_tsvetnogo_metalloloma_7869666146","7869666146")</f>
        <v>7869666146</v>
      </c>
    </row>
    <row r="147" spans="1:5" x14ac:dyDescent="0.3">
      <c r="A147" s="9" t="s">
        <v>127</v>
      </c>
      <c r="B147" s="17" t="s">
        <v>136</v>
      </c>
      <c r="C147" s="1" t="str">
        <f>HYPERLINK("https://www.avito.ru/vologda/uslugi/skupka_metalla._redkozemelnye_metally_7869690627","Скупка металла. Редкоземельные металлы")</f>
        <v>Скупка металла. Редкоземельные металлы</v>
      </c>
      <c r="D147" t="s">
        <v>41</v>
      </c>
      <c r="E147" s="8" t="str">
        <f>HYPERLINK("https://www.avito.ru/vologda/uslugi/skupka_metalla._redkozemelnye_metally_7869690627","7869690627")</f>
        <v>7869690627</v>
      </c>
    </row>
    <row r="148" spans="1:5" x14ac:dyDescent="0.3">
      <c r="A148" s="9" t="s">
        <v>127</v>
      </c>
      <c r="B148" s="17" t="s">
        <v>137</v>
      </c>
      <c r="C148" s="1" t="str">
        <f>HYPERLINK("https://www.avito.ru/velikiy_novgorod/uslugi/priem_provodov._skupka_7869711196","Прием проводов. Скупка")</f>
        <v>Прием проводов. Скупка</v>
      </c>
      <c r="D148" t="s">
        <v>31</v>
      </c>
      <c r="E148" s="8" t="str">
        <f>HYPERLINK("https://www.avito.ru/velikiy_novgorod/uslugi/priem_provodov._skupka_7869711196","7869711196")</f>
        <v>7869711196</v>
      </c>
    </row>
    <row r="149" spans="1:5" x14ac:dyDescent="0.3">
      <c r="A149" s="9" t="s">
        <v>127</v>
      </c>
      <c r="B149" s="17" t="s">
        <v>137</v>
      </c>
      <c r="C149" s="1" t="str">
        <f>HYPERLINK("https://www.avito.ru/novoe_devyatkino/uslugi/priem_provodov._skupka_7869745845","Прием проводов. Скупка")</f>
        <v>Прием проводов. Скупка</v>
      </c>
      <c r="D149" t="s">
        <v>99</v>
      </c>
      <c r="E149" s="8" t="str">
        <f>HYPERLINK("https://www.avito.ru/novoe_devyatkino/uslugi/priem_provodov._skupka_7869745845","7869745845")</f>
        <v>7869745845</v>
      </c>
    </row>
    <row r="150" spans="1:5" x14ac:dyDescent="0.3">
      <c r="A150" s="9" t="s">
        <v>127</v>
      </c>
      <c r="B150" s="17" t="s">
        <v>136</v>
      </c>
      <c r="C150" s="1" t="str">
        <f>HYPERLINK("https://www.avito.ru/pskov/uslugi/skupka_metalla._redkozemelnye_metally_7869756106","Скупка металла. Редкоземельные металлы")</f>
        <v>Скупка металла. Редкоземельные металлы</v>
      </c>
      <c r="D150" t="s">
        <v>38</v>
      </c>
      <c r="E150" s="8" t="str">
        <f>HYPERLINK("https://www.avito.ru/pskov/uslugi/skupka_metalla._redkozemelnye_metally_7869756106","7869756106")</f>
        <v>7869756106</v>
      </c>
    </row>
    <row r="151" spans="1:5" x14ac:dyDescent="0.3">
      <c r="A151" s="9" t="s">
        <v>127</v>
      </c>
      <c r="B151" s="15" t="s">
        <v>133</v>
      </c>
      <c r="C151" s="1" t="str">
        <f>HYPERLINK("https://www.avito.ru/vologda/uslugi/priem_tsvetnogo_metalloloma_7869795358","Прием цветного металлолома")</f>
        <v>Прием цветного металлолома</v>
      </c>
      <c r="D151" t="s">
        <v>41</v>
      </c>
      <c r="E151" s="8" t="str">
        <f>HYPERLINK("https://www.avito.ru/vologda/uslugi/priem_tsvetnogo_metalloloma_7869795358","7869795358")</f>
        <v>7869795358</v>
      </c>
    </row>
    <row r="152" spans="1:5" x14ac:dyDescent="0.3">
      <c r="A152" s="9" t="s">
        <v>127</v>
      </c>
      <c r="B152" s="17" t="s">
        <v>137</v>
      </c>
      <c r="C152" s="1" t="str">
        <f>HYPERLINK("https://www.avito.ru/vologda/uslugi/priem_provodov._skupka_7869866104","Прием проводов. Скупка")</f>
        <v>Прием проводов. Скупка</v>
      </c>
      <c r="D152" t="s">
        <v>41</v>
      </c>
      <c r="E152" s="8" t="str">
        <f>HYPERLINK("https://www.avito.ru/vologda/uslugi/priem_provodov._skupka_7869866104","7869866104")</f>
        <v>7869866104</v>
      </c>
    </row>
    <row r="153" spans="1:5" x14ac:dyDescent="0.3">
      <c r="A153" s="9" t="s">
        <v>127</v>
      </c>
      <c r="B153" s="17" t="s">
        <v>137</v>
      </c>
      <c r="C153" s="1" t="str">
        <f>HYPERLINK("https://www.avito.ru/sankt-peterburg/uslugi/priem_provodov_priem_kabelya_skupka_7869887071","Прием проводов Прием кабеля Скупка")</f>
        <v>Прием проводов Прием кабеля Скупка</v>
      </c>
      <c r="D153" t="s">
        <v>113</v>
      </c>
      <c r="E153" s="8" t="str">
        <f>HYPERLINK("https://www.avito.ru/sankt-peterburg/uslugi/priem_provodov_priem_kabelya_skupka_7869887071","7869887071")</f>
        <v>7869887071</v>
      </c>
    </row>
    <row r="154" spans="1:5" x14ac:dyDescent="0.3">
      <c r="A154" s="9" t="s">
        <v>127</v>
      </c>
      <c r="B154" s="17" t="s">
        <v>137</v>
      </c>
      <c r="C154" s="1" t="str">
        <f>HYPERLINK("https://www.avito.ru/cherepovets/uslugi/priem_provodov._skupka_7869889265","Прием проводов. Скупка")</f>
        <v>Прием проводов. Скупка</v>
      </c>
      <c r="D154" t="s">
        <v>47</v>
      </c>
      <c r="E154" s="8" t="str">
        <f>HYPERLINK("https://www.avito.ru/cherepovets/uslugi/priem_provodov._skupka_7869889265","7869889265")</f>
        <v>7869889265</v>
      </c>
    </row>
    <row r="155" spans="1:5" x14ac:dyDescent="0.3">
      <c r="A155" s="9" t="s">
        <v>127</v>
      </c>
      <c r="B155" s="17" t="s">
        <v>136</v>
      </c>
      <c r="C155" s="1" t="str">
        <f>HYPERLINK("https://www.avito.ru/velikiy_novgorod/uslugi/skupka_metalla._redkozemelnye_metally_7869890986","Скупка металла. Редкоземельные металлы")</f>
        <v>Скупка металла. Редкоземельные металлы</v>
      </c>
      <c r="D155" t="s">
        <v>31</v>
      </c>
      <c r="E155" s="8" t="str">
        <f>HYPERLINK("https://www.avito.ru/velikiy_novgorod/uslugi/skupka_metalla._redkozemelnye_metally_7869890986","7869890986")</f>
        <v>7869890986</v>
      </c>
    </row>
    <row r="156" spans="1:5" x14ac:dyDescent="0.3">
      <c r="A156" s="9" t="s">
        <v>127</v>
      </c>
      <c r="B156" s="17" t="s">
        <v>137</v>
      </c>
      <c r="C156" s="1" t="str">
        <f>HYPERLINK("https://www.avito.ru/sankt-peterburg/uslugi/priem_i_vyvoz_kabelya_i_provoda_sdat_kabel_7869891307","Прием и вывоз кабеля и провода Сдать кабель")</f>
        <v>Прием и вывоз кабеля и провода Сдать кабель</v>
      </c>
      <c r="D156" t="s">
        <v>32</v>
      </c>
      <c r="E156" s="8" t="str">
        <f>HYPERLINK("https://www.avito.ru/sankt-peterburg/uslugi/priem_i_vyvoz_kabelya_i_provoda_sdat_kabel_7869891307","7869891307")</f>
        <v>7869891307</v>
      </c>
    </row>
    <row r="157" spans="1:5" x14ac:dyDescent="0.3">
      <c r="A157" s="9" t="s">
        <v>127</v>
      </c>
      <c r="B157" s="17" t="s">
        <v>49</v>
      </c>
      <c r="C157" s="1" t="str">
        <f>HYPERLINK("https://www.avito.ru/sankt-peterburg/uslugi/spektralnyy_analiz_sostava_metalla_7901077566","Спектральный анализ состава металла")</f>
        <v>Спектральный анализ состава металла</v>
      </c>
      <c r="D157" t="s">
        <v>48</v>
      </c>
      <c r="E157" s="8" t="str">
        <f>HYPERLINK("https://www.avito.ru/sankt-peterburg/uslugi/spektralnyy_analiz_sostava_metalla_7901077566","7901077566")</f>
        <v>7901077566</v>
      </c>
    </row>
    <row r="158" spans="1:5" x14ac:dyDescent="0.3">
      <c r="A158" s="9" t="s">
        <v>127</v>
      </c>
      <c r="B158" s="17" t="s">
        <v>49</v>
      </c>
      <c r="C158" s="1" t="str">
        <f>HYPERLINK("https://www.avito.ru/sankt-peterburg/uslugi/demontazh_i_rezka_metallokonstruktsiy_sdat_metall_7901199251","Демонтаж и резка металлоконструкций Сдать металл")</f>
        <v>Демонтаж и резка металлоконструкций Сдать металл</v>
      </c>
      <c r="D158" t="s">
        <v>11</v>
      </c>
      <c r="E158" s="8" t="str">
        <f>HYPERLINK("https://www.avito.ru/sankt-peterburg/uslugi/demontazh_i_rezka_metallokonstruktsiy_sdat_metall_7901199251","7901199251")</f>
        <v>7901199251</v>
      </c>
    </row>
    <row r="159" spans="1:5" x14ac:dyDescent="0.3">
      <c r="A159" s="9" t="s">
        <v>127</v>
      </c>
      <c r="B159" s="17" t="s">
        <v>131</v>
      </c>
      <c r="C159" s="1" t="str">
        <f>HYPERLINK("https://www.avito.ru/sankt-peterburg/uslugi/priem_metalloloma_vyvoz_metalloloma_demontazh_7901275111","Прием металлолома / Вывоз металлолома / Демонтаж")</f>
        <v>Прием металлолома / Вывоз металлолома / Демонтаж</v>
      </c>
      <c r="D159" t="s">
        <v>62</v>
      </c>
      <c r="E159" s="8" t="str">
        <f>HYPERLINK("https://www.avito.ru/sankt-peterburg/uslugi/priem_metalloloma_vyvoz_metalloloma_demontazh_7901275111","7901275111")</f>
        <v>7901275111</v>
      </c>
    </row>
    <row r="160" spans="1:5" x14ac:dyDescent="0.3">
      <c r="A160" s="9" t="s">
        <v>127</v>
      </c>
      <c r="B160" s="17" t="s">
        <v>131</v>
      </c>
      <c r="C160" s="1" t="str">
        <f>HYPERLINK("https://www.avito.ru/sankt-peterburg/uslugi/priem_metalloloma_vyvoz_metalloloma_demontazh_7901511529","Прием металлолома / Вывоз металлолома / Демонтаж")</f>
        <v>Прием металлолома / Вывоз металлолома / Демонтаж</v>
      </c>
      <c r="D160" t="s">
        <v>116</v>
      </c>
      <c r="E160" s="8" t="str">
        <f>HYPERLINK("https://www.avito.ru/sankt-peterburg/uslugi/priem_metalloloma_vyvoz_metalloloma_demontazh_7901511529","7901511529")</f>
        <v>7901511529</v>
      </c>
    </row>
    <row r="161" spans="1:5" x14ac:dyDescent="0.3">
      <c r="A161" s="9" t="s">
        <v>127</v>
      </c>
      <c r="B161" s="17" t="s">
        <v>131</v>
      </c>
      <c r="C161" s="1" t="str">
        <f>HYPERLINK("https://www.avito.ru/sankt-peterburg/uslugi/priem_metalloloma_vyvoz_metalloloma_demontazh_7901863406","Прием металлолома / вывоз металлолома / демонтаж")</f>
        <v>Прием металлолома / вывоз металлолома / демонтаж</v>
      </c>
      <c r="D161" t="s">
        <v>51</v>
      </c>
      <c r="E161" s="8" t="str">
        <f>HYPERLINK("https://www.avito.ru/sankt-peterburg/uslugi/priem_metalloloma_vyvoz_metalloloma_demontazh_7901863406","7901863406")</f>
        <v>7901863406</v>
      </c>
    </row>
    <row r="165" spans="1:5" ht="28.8" x14ac:dyDescent="0.3">
      <c r="A165" s="18" t="s">
        <v>128</v>
      </c>
      <c r="B165" s="19" t="s">
        <v>141</v>
      </c>
    </row>
    <row r="166" spans="1:5" x14ac:dyDescent="0.3">
      <c r="A166" t="s">
        <v>134</v>
      </c>
      <c r="B166">
        <v>13</v>
      </c>
    </row>
    <row r="167" spans="1:5" x14ac:dyDescent="0.3">
      <c r="A167" t="s">
        <v>131</v>
      </c>
      <c r="B167">
        <v>65</v>
      </c>
    </row>
    <row r="168" spans="1:5" x14ac:dyDescent="0.3">
      <c r="A168" t="s">
        <v>132</v>
      </c>
      <c r="B168">
        <v>2</v>
      </c>
    </row>
    <row r="169" spans="1:5" x14ac:dyDescent="0.3">
      <c r="A169" t="s">
        <v>133</v>
      </c>
      <c r="B169">
        <v>10</v>
      </c>
    </row>
    <row r="170" spans="1:5" x14ac:dyDescent="0.3">
      <c r="A170" t="s">
        <v>137</v>
      </c>
      <c r="B170">
        <v>15</v>
      </c>
    </row>
    <row r="171" spans="1:5" x14ac:dyDescent="0.3">
      <c r="A171" t="s">
        <v>135</v>
      </c>
      <c r="B171">
        <v>11</v>
      </c>
    </row>
    <row r="172" spans="1:5" x14ac:dyDescent="0.3">
      <c r="A172" t="s">
        <v>136</v>
      </c>
      <c r="B172">
        <v>27</v>
      </c>
    </row>
    <row r="173" spans="1:5" x14ac:dyDescent="0.3">
      <c r="A173" t="s">
        <v>142</v>
      </c>
      <c r="B173">
        <v>6</v>
      </c>
    </row>
    <row r="174" spans="1:5" x14ac:dyDescent="0.3">
      <c r="A174" t="s">
        <v>140</v>
      </c>
      <c r="B174">
        <v>4</v>
      </c>
    </row>
    <row r="175" spans="1:5" x14ac:dyDescent="0.3">
      <c r="A175" t="s">
        <v>139</v>
      </c>
      <c r="B175">
        <v>4</v>
      </c>
    </row>
    <row r="176" spans="1:5" x14ac:dyDescent="0.3">
      <c r="A176" t="s">
        <v>143</v>
      </c>
      <c r="B176">
        <v>3</v>
      </c>
    </row>
  </sheetData>
  <autoFilter ref="A1:E161" xr:uid="{43BDE60E-00E8-42EF-B498-9B7C89A0716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A7AC-3E33-42D8-A020-B8DCC75CD7DD}">
  <dimension ref="A1:K165"/>
  <sheetViews>
    <sheetView tabSelected="1" topLeftCell="A151" workbookViewId="0">
      <selection activeCell="I173" sqref="I173"/>
    </sheetView>
  </sheetViews>
  <sheetFormatPr defaultRowHeight="14.4" x14ac:dyDescent="0.3"/>
  <cols>
    <col min="1" max="1" width="11" style="8" customWidth="1"/>
    <col min="2" max="2" width="42.44140625" customWidth="1"/>
    <col min="3" max="3" width="12.88671875" style="8" customWidth="1"/>
    <col min="4" max="4" width="18.44140625" style="8" customWidth="1"/>
    <col min="5" max="5" width="13.5546875" customWidth="1"/>
    <col min="6" max="6" width="14.6640625" customWidth="1"/>
    <col min="7" max="7" width="16.88671875" customWidth="1"/>
    <col min="8" max="8" width="16.5546875" customWidth="1"/>
    <col min="9" max="9" width="15.6640625" customWidth="1"/>
    <col min="10" max="10" width="17.6640625" customWidth="1"/>
    <col min="11" max="11" width="18.44140625" customWidth="1"/>
  </cols>
  <sheetData>
    <row r="1" spans="1:11" ht="43.2" x14ac:dyDescent="0.3">
      <c r="A1" s="10" t="s">
        <v>3</v>
      </c>
      <c r="B1" s="2" t="s">
        <v>2</v>
      </c>
      <c r="C1" s="2" t="s">
        <v>0</v>
      </c>
      <c r="D1" s="16" t="s">
        <v>128</v>
      </c>
      <c r="E1" s="2" t="s">
        <v>4</v>
      </c>
      <c r="F1" s="2" t="s">
        <v>6</v>
      </c>
      <c r="G1" s="2" t="s">
        <v>5</v>
      </c>
      <c r="H1" s="2" t="s">
        <v>7</v>
      </c>
      <c r="I1" s="2" t="s">
        <v>8</v>
      </c>
      <c r="J1" s="2" t="s">
        <v>9</v>
      </c>
      <c r="K1" s="2" t="s">
        <v>10</v>
      </c>
    </row>
    <row r="2" spans="1:11" x14ac:dyDescent="0.3">
      <c r="A2" s="8" t="s">
        <v>13</v>
      </c>
      <c r="B2" t="s">
        <v>22</v>
      </c>
      <c r="C2" s="22" t="str">
        <f>HYPERLINK("https://www.avito.ru/sankt-peterburg/uslugi/priem_metalloloma_vyvoz_metalloloma_demontazh_7805824719","7805824719")</f>
        <v>7805824719</v>
      </c>
      <c r="D2" s="25" t="s">
        <v>131</v>
      </c>
      <c r="E2" s="8">
        <v>71</v>
      </c>
      <c r="F2" s="8">
        <v>16</v>
      </c>
      <c r="G2" s="11">
        <v>0.2253</v>
      </c>
      <c r="H2" s="8">
        <v>6</v>
      </c>
      <c r="I2" s="8">
        <v>10</v>
      </c>
      <c r="J2" s="12">
        <v>983.65</v>
      </c>
      <c r="K2" s="12">
        <v>15738.4</v>
      </c>
    </row>
    <row r="3" spans="1:11" x14ac:dyDescent="0.3">
      <c r="A3" s="8" t="s">
        <v>13</v>
      </c>
      <c r="B3" t="s">
        <v>15</v>
      </c>
      <c r="C3" s="22" t="str">
        <f>HYPERLINK("https://www.avito.ru/sankt-peterburg/uslugi/skupka_i_vyvoz_metalloloma_v_spb_i_lo_s_demontazhem_7805608788","7805608788")</f>
        <v>7805608788</v>
      </c>
      <c r="D3" s="25" t="s">
        <v>131</v>
      </c>
      <c r="E3" s="8">
        <v>142</v>
      </c>
      <c r="F3" s="8">
        <v>14</v>
      </c>
      <c r="G3" s="11">
        <v>9.8500000000000004E-2</v>
      </c>
      <c r="H3" s="8">
        <v>7</v>
      </c>
      <c r="I3" s="8">
        <v>7</v>
      </c>
      <c r="J3" s="12">
        <v>1124.17</v>
      </c>
      <c r="K3" s="12">
        <v>15738.4</v>
      </c>
    </row>
    <row r="4" spans="1:11" x14ac:dyDescent="0.3">
      <c r="A4" s="8" t="s">
        <v>13</v>
      </c>
      <c r="B4" t="s">
        <v>12</v>
      </c>
      <c r="C4" s="22" t="str">
        <f>HYPERLINK("https://www.avito.ru/sankt-peterburg/uslugi/sdat_staryy_akkumulyator._priem_akkumulyatorov_7805642809","7805642809")</f>
        <v>7805642809</v>
      </c>
      <c r="D4" s="25" t="s">
        <v>134</v>
      </c>
      <c r="E4" s="8">
        <v>97</v>
      </c>
      <c r="F4" s="8">
        <v>12</v>
      </c>
      <c r="G4" s="11">
        <v>0.1237</v>
      </c>
      <c r="H4" s="8">
        <v>4</v>
      </c>
      <c r="I4" s="8">
        <v>8</v>
      </c>
      <c r="J4" s="12">
        <v>286.36</v>
      </c>
      <c r="K4" s="12">
        <v>3436.4</v>
      </c>
    </row>
    <row r="5" spans="1:11" x14ac:dyDescent="0.3">
      <c r="A5" s="8" t="s">
        <v>13</v>
      </c>
      <c r="B5" t="s">
        <v>21</v>
      </c>
      <c r="C5" s="22" t="str">
        <f>HYPERLINK("https://www.avito.ru/sankt-peterburg_kolpino/uslugi/sdat_staryy_akkumulyator._priem_akkumulyatorov_7804981231","7804981231")</f>
        <v>7804981231</v>
      </c>
      <c r="D5" s="25" t="s">
        <v>134</v>
      </c>
      <c r="E5" s="8">
        <v>156</v>
      </c>
      <c r="F5" s="8">
        <v>11</v>
      </c>
      <c r="G5" s="11">
        <v>7.0499999999999993E-2</v>
      </c>
      <c r="H5" s="8">
        <v>6</v>
      </c>
      <c r="I5" s="8">
        <v>5</v>
      </c>
      <c r="J5" s="12">
        <v>434.21</v>
      </c>
      <c r="K5" s="12">
        <v>4776.3999999999996</v>
      </c>
    </row>
    <row r="6" spans="1:11" x14ac:dyDescent="0.3">
      <c r="A6" s="8" t="s">
        <v>13</v>
      </c>
      <c r="B6" t="s">
        <v>18</v>
      </c>
      <c r="C6" s="22" t="str">
        <f>HYPERLINK("https://www.avito.ru/petrozavodsk/uslugi/sdat_staryy_akkumulyator._priem_akkumulyatorov_7837417818","7837417818")</f>
        <v>7837417818</v>
      </c>
      <c r="D6" s="25" t="s">
        <v>134</v>
      </c>
      <c r="E6" s="8">
        <v>183</v>
      </c>
      <c r="F6" s="8">
        <v>11</v>
      </c>
      <c r="G6" s="11">
        <v>6.0100000000000001E-2</v>
      </c>
      <c r="H6" s="8">
        <v>6</v>
      </c>
      <c r="I6" s="8">
        <v>5</v>
      </c>
      <c r="J6" s="12">
        <v>3.81</v>
      </c>
      <c r="K6" s="12">
        <v>42</v>
      </c>
    </row>
    <row r="7" spans="1:11" x14ac:dyDescent="0.3">
      <c r="A7" s="8" t="s">
        <v>13</v>
      </c>
      <c r="B7" t="s">
        <v>34</v>
      </c>
      <c r="C7" s="22" t="str">
        <f>HYPERLINK("https://www.avito.ru/sankt-peterburg/uslugi/priem_metalloloma_vyvoz_metalloloma_demontazh_7805087624","7805087624")</f>
        <v>7805087624</v>
      </c>
      <c r="D7" s="25" t="s">
        <v>131</v>
      </c>
      <c r="E7" s="8">
        <v>41</v>
      </c>
      <c r="F7" s="8">
        <v>8</v>
      </c>
      <c r="G7" s="11">
        <v>0.1951</v>
      </c>
      <c r="H7" s="8">
        <v>4</v>
      </c>
      <c r="I7" s="8">
        <v>4</v>
      </c>
      <c r="J7" s="12">
        <v>1689.6</v>
      </c>
      <c r="K7" s="12">
        <v>13516.8</v>
      </c>
    </row>
    <row r="8" spans="1:11" x14ac:dyDescent="0.3">
      <c r="A8" s="8" t="s">
        <v>13</v>
      </c>
      <c r="B8" t="s">
        <v>28</v>
      </c>
      <c r="C8" s="22" t="str">
        <f>HYPERLINK("https://www.avito.ru/arhangelsk/uslugi/sdat_staryy_akkumulyator._priem_akkumulyatorov_7837068432","7837068432")</f>
        <v>7837068432</v>
      </c>
      <c r="D8" s="25" t="s">
        <v>134</v>
      </c>
      <c r="E8" s="8">
        <v>449</v>
      </c>
      <c r="F8" s="8">
        <v>8</v>
      </c>
      <c r="G8" s="11">
        <v>1.78E-2</v>
      </c>
      <c r="H8" s="8">
        <v>4</v>
      </c>
      <c r="I8" s="8">
        <v>4</v>
      </c>
      <c r="J8" s="12">
        <v>4.72</v>
      </c>
      <c r="K8" s="12">
        <v>37.799999999999997</v>
      </c>
    </row>
    <row r="9" spans="1:11" x14ac:dyDescent="0.3">
      <c r="A9" s="8" t="s">
        <v>13</v>
      </c>
      <c r="B9" t="s">
        <v>22</v>
      </c>
      <c r="C9" s="22" t="str">
        <f>HYPERLINK("https://www.avito.ru/sankt-peterburg/uslugi/vyvoz_metalloloma_priem_metalloloma_demontazh_7837394301","7837394301")</f>
        <v>7837394301</v>
      </c>
      <c r="D9" s="26" t="s">
        <v>131</v>
      </c>
      <c r="E9" s="8">
        <v>22</v>
      </c>
      <c r="F9" s="8">
        <v>8</v>
      </c>
      <c r="G9" s="11">
        <v>0.36359999999999998</v>
      </c>
      <c r="H9" s="8">
        <v>2</v>
      </c>
      <c r="I9" s="8">
        <v>5</v>
      </c>
      <c r="J9" s="12">
        <v>1689.6</v>
      </c>
      <c r="K9" s="12">
        <v>13516.8</v>
      </c>
    </row>
    <row r="10" spans="1:11" x14ac:dyDescent="0.3">
      <c r="A10" s="8" t="s">
        <v>13</v>
      </c>
      <c r="B10" t="s">
        <v>61</v>
      </c>
      <c r="C10" s="22" t="str">
        <f>HYPERLINK("https://www.avito.ru/sankt-peterburg/uslugi/priem_i_vyvoz_metalloloma_samovyvoz_loma_demontazh_7837591796","7837591796")</f>
        <v>7837591796</v>
      </c>
      <c r="D10" s="26" t="s">
        <v>131</v>
      </c>
      <c r="E10" s="8">
        <v>48</v>
      </c>
      <c r="F10" s="8">
        <v>7</v>
      </c>
      <c r="G10" s="11">
        <v>0.14580000000000001</v>
      </c>
      <c r="H10" s="8">
        <v>3</v>
      </c>
      <c r="I10" s="8">
        <v>2</v>
      </c>
      <c r="J10" s="12">
        <v>1211.82</v>
      </c>
      <c r="K10" s="12">
        <v>8482.7999999999993</v>
      </c>
    </row>
    <row r="11" spans="1:11" x14ac:dyDescent="0.3">
      <c r="A11" s="8" t="s">
        <v>13</v>
      </c>
      <c r="B11" t="s">
        <v>63</v>
      </c>
      <c r="C11" s="22" t="str">
        <f>HYPERLINK("https://www.avito.ru/sankt-peterburg/uslugi/sdat_chermet_priem_vyvoz_metalloloma_7869031021","7869031021")</f>
        <v>7869031021</v>
      </c>
      <c r="D11" s="26" t="s">
        <v>132</v>
      </c>
      <c r="E11" s="8">
        <v>47</v>
      </c>
      <c r="F11" s="8">
        <v>7</v>
      </c>
      <c r="G11" s="11">
        <v>0.1489</v>
      </c>
      <c r="H11" s="8">
        <v>4</v>
      </c>
      <c r="I11" s="8">
        <v>3</v>
      </c>
      <c r="J11" s="12">
        <v>1288</v>
      </c>
      <c r="K11" s="12">
        <v>9016</v>
      </c>
    </row>
    <row r="12" spans="1:11" x14ac:dyDescent="0.3">
      <c r="A12" s="8" t="s">
        <v>13</v>
      </c>
      <c r="B12" t="s">
        <v>21</v>
      </c>
      <c r="C12" s="22" t="str">
        <f>HYPERLINK("https://www.avito.ru/sankt-peterburg_kolpino/uslugi/priem_metalloloma_vyvoz_metalloloma_demontazh_7805527338","7805527338")</f>
        <v>7805527338</v>
      </c>
      <c r="D12" s="26" t="s">
        <v>131</v>
      </c>
      <c r="E12" s="8">
        <v>95</v>
      </c>
      <c r="F12" s="8">
        <v>6</v>
      </c>
      <c r="G12" s="11">
        <v>6.3100000000000003E-2</v>
      </c>
      <c r="H12" s="8">
        <v>5</v>
      </c>
      <c r="I12" s="8">
        <v>1</v>
      </c>
      <c r="J12" s="12">
        <v>2625.46</v>
      </c>
      <c r="K12" s="12">
        <v>15752.8</v>
      </c>
    </row>
    <row r="13" spans="1:11" x14ac:dyDescent="0.3">
      <c r="A13" s="8" t="s">
        <v>13</v>
      </c>
      <c r="B13" t="s">
        <v>47</v>
      </c>
      <c r="C13" s="22" t="str">
        <f>HYPERLINK("https://www.avito.ru/cherepovets/uslugi/sdat_staryy_akkumulyator._priem_akkumulyatorov_7836956803","7836956803")</f>
        <v>7836956803</v>
      </c>
      <c r="D13" s="26" t="s">
        <v>134</v>
      </c>
      <c r="E13" s="8">
        <v>209</v>
      </c>
      <c r="F13" s="8">
        <v>5</v>
      </c>
      <c r="G13" s="11">
        <v>2.3900000000000001E-2</v>
      </c>
      <c r="H13" s="8">
        <v>3</v>
      </c>
      <c r="I13" s="8">
        <v>2</v>
      </c>
      <c r="J13" s="12">
        <v>8.4</v>
      </c>
      <c r="K13" s="12">
        <v>42</v>
      </c>
    </row>
    <row r="14" spans="1:11" x14ac:dyDescent="0.3">
      <c r="A14" s="8" t="s">
        <v>13</v>
      </c>
      <c r="B14" t="s">
        <v>31</v>
      </c>
      <c r="C14" s="22" t="str">
        <f>HYPERLINK("https://www.avito.ru/velikiy_novgorod/uslugi/sdat_staryy_akkumulyator._priem_akkumulyatorov_7837165224","7837165224")</f>
        <v>7837165224</v>
      </c>
      <c r="D14" s="25" t="s">
        <v>134</v>
      </c>
      <c r="E14" s="8">
        <v>198</v>
      </c>
      <c r="F14" s="8">
        <v>5</v>
      </c>
      <c r="G14" s="11">
        <v>2.52E-2</v>
      </c>
      <c r="H14" s="8">
        <v>3</v>
      </c>
      <c r="I14" s="8">
        <v>2</v>
      </c>
      <c r="J14" s="12">
        <v>12.6</v>
      </c>
      <c r="K14" s="12">
        <v>63</v>
      </c>
    </row>
    <row r="15" spans="1:11" x14ac:dyDescent="0.3">
      <c r="A15" s="8" t="s">
        <v>13</v>
      </c>
      <c r="B15" t="s">
        <v>23</v>
      </c>
      <c r="C15" s="22" t="str">
        <f>HYPERLINK("https://www.avito.ru/sankt-peterburg/uslugi/priem_bystrorezhuschey_stalisdat_lom_7837597444","7837597444")</f>
        <v>7837597444</v>
      </c>
      <c r="D15" s="25" t="s">
        <v>136</v>
      </c>
      <c r="E15" s="8">
        <v>94</v>
      </c>
      <c r="F15" s="8">
        <v>5</v>
      </c>
      <c r="G15" s="11">
        <v>5.3100000000000001E-2</v>
      </c>
      <c r="H15" s="8">
        <v>3</v>
      </c>
      <c r="I15" s="8">
        <v>1</v>
      </c>
      <c r="J15" s="12">
        <v>20.16</v>
      </c>
      <c r="K15" s="12">
        <v>100.8</v>
      </c>
    </row>
    <row r="16" spans="1:11" x14ac:dyDescent="0.3">
      <c r="A16" s="8" t="s">
        <v>13</v>
      </c>
      <c r="B16" t="s">
        <v>43</v>
      </c>
      <c r="C16" s="22" t="str">
        <f>HYPERLINK("https://www.avito.ru/sankt-peterburg_pushkin/uslugi/priem_metalloloma_vyvoz_metalloloma_demontazh_7805515572","7805515572")</f>
        <v>7805515572</v>
      </c>
      <c r="D16" s="26" t="s">
        <v>131</v>
      </c>
      <c r="E16" s="8">
        <v>32</v>
      </c>
      <c r="F16" s="8">
        <v>4</v>
      </c>
      <c r="G16" s="11">
        <v>0.125</v>
      </c>
      <c r="H16" s="8">
        <v>4</v>
      </c>
      <c r="I16" s="8">
        <v>0</v>
      </c>
      <c r="J16" s="12">
        <v>2819.95</v>
      </c>
      <c r="K16" s="12">
        <v>11279.8</v>
      </c>
    </row>
    <row r="17" spans="1:11" x14ac:dyDescent="0.3">
      <c r="A17" s="8" t="s">
        <v>13</v>
      </c>
      <c r="B17" t="s">
        <v>112</v>
      </c>
      <c r="C17" s="22" t="str">
        <f>HYPERLINK("https://www.avito.ru/sankt-peterburg/uslugi/priem_tsvetnogo_metalla_priem_metalloloma_7836963610","7836963610")</f>
        <v>7836963610</v>
      </c>
      <c r="D17" s="25" t="s">
        <v>133</v>
      </c>
      <c r="E17" s="8">
        <v>35</v>
      </c>
      <c r="F17" s="8">
        <v>4</v>
      </c>
      <c r="G17" s="11">
        <v>0.1142</v>
      </c>
      <c r="H17" s="8">
        <v>3</v>
      </c>
      <c r="I17" s="8">
        <v>1</v>
      </c>
      <c r="J17" s="12">
        <v>2537.1</v>
      </c>
      <c r="K17" s="12">
        <v>10148.4</v>
      </c>
    </row>
    <row r="18" spans="1:11" x14ac:dyDescent="0.3">
      <c r="A18" s="8" t="s">
        <v>13</v>
      </c>
      <c r="B18" t="s">
        <v>38</v>
      </c>
      <c r="C18" s="22" t="str">
        <f>HYPERLINK("https://www.avito.ru/pskov/uslugi/skupka_i_vyvoz_metalloloma_s_demontazhem_7804999460","7804999460")</f>
        <v>7804999460</v>
      </c>
      <c r="D18" s="25" t="s">
        <v>131</v>
      </c>
      <c r="E18" s="8">
        <v>16</v>
      </c>
      <c r="F18" s="8">
        <v>3</v>
      </c>
      <c r="G18" s="11">
        <v>0.1875</v>
      </c>
      <c r="H18" s="8">
        <v>1</v>
      </c>
      <c r="I18" s="8">
        <v>2</v>
      </c>
      <c r="J18" s="12">
        <v>18.2</v>
      </c>
      <c r="K18" s="12">
        <v>54.6</v>
      </c>
    </row>
    <row r="19" spans="1:11" x14ac:dyDescent="0.3">
      <c r="A19" s="8" t="s">
        <v>13</v>
      </c>
      <c r="B19" t="s">
        <v>21</v>
      </c>
      <c r="C19" s="22" t="str">
        <f>HYPERLINK("https://www.avito.ru/sankt-peterburg_kolpino/uslugi/priem_i_vyvoz_metalloloma_7805003741","7805003741")</f>
        <v>7805003741</v>
      </c>
      <c r="D19" s="25" t="s">
        <v>131</v>
      </c>
      <c r="E19" s="8">
        <v>11</v>
      </c>
      <c r="F19" s="8">
        <v>3</v>
      </c>
      <c r="G19" s="11">
        <v>0.2727</v>
      </c>
      <c r="H19" s="8">
        <v>3</v>
      </c>
      <c r="I19" s="8">
        <v>0</v>
      </c>
      <c r="J19" s="12">
        <v>1337.93</v>
      </c>
      <c r="K19" s="12">
        <v>4013.8</v>
      </c>
    </row>
    <row r="20" spans="1:11" x14ac:dyDescent="0.3">
      <c r="A20" s="8" t="s">
        <v>13</v>
      </c>
      <c r="B20" t="s">
        <v>35</v>
      </c>
      <c r="C20" s="22" t="str">
        <f>HYPERLINK("https://www.avito.ru/sankt-peterburg/uslugi/priem_i_vyvoz_metalloloma_samovyvoz_loma_7805547972","7805547972")</f>
        <v>7805547972</v>
      </c>
      <c r="D20" s="26" t="s">
        <v>131</v>
      </c>
      <c r="E20" s="8">
        <v>31</v>
      </c>
      <c r="F20" s="8">
        <v>3</v>
      </c>
      <c r="G20" s="11">
        <v>9.6699999999999994E-2</v>
      </c>
      <c r="H20" s="8">
        <v>1</v>
      </c>
      <c r="I20" s="8">
        <v>1</v>
      </c>
      <c r="J20" s="12">
        <v>2269.6</v>
      </c>
      <c r="K20" s="12">
        <v>6808.8</v>
      </c>
    </row>
    <row r="21" spans="1:11" x14ac:dyDescent="0.3">
      <c r="A21" s="8" t="s">
        <v>13</v>
      </c>
      <c r="B21" t="s">
        <v>38</v>
      </c>
      <c r="C21" s="22" t="str">
        <f>HYPERLINK("https://www.avito.ru/pskov/uslugi/priem_provodov._skupka_7869000223","7869000223")</f>
        <v>7869000223</v>
      </c>
      <c r="D21" s="26" t="s">
        <v>137</v>
      </c>
      <c r="E21" s="8">
        <v>93</v>
      </c>
      <c r="F21" s="8">
        <v>3</v>
      </c>
      <c r="G21" s="11">
        <v>3.2199999999999999E-2</v>
      </c>
      <c r="H21" s="8">
        <v>1</v>
      </c>
      <c r="I21" s="8">
        <v>2</v>
      </c>
      <c r="J21" s="12">
        <v>10.4</v>
      </c>
      <c r="K21" s="12">
        <v>31.2</v>
      </c>
    </row>
    <row r="22" spans="1:11" x14ac:dyDescent="0.3">
      <c r="A22" s="8" t="s">
        <v>13</v>
      </c>
      <c r="B22" t="s">
        <v>31</v>
      </c>
      <c r="C22" s="22" t="str">
        <f>HYPERLINK("https://www.avito.ru/velikiy_novgorod/uslugi/priem_plat_i_elektronnogo_loma._skupka_plat_7869768110","7869768110")</f>
        <v>7869768110</v>
      </c>
      <c r="D22" s="26" t="s">
        <v>135</v>
      </c>
      <c r="E22" s="8">
        <v>65</v>
      </c>
      <c r="F22" s="8">
        <v>3</v>
      </c>
      <c r="G22" s="11">
        <v>4.6100000000000002E-2</v>
      </c>
      <c r="H22" s="8">
        <v>2</v>
      </c>
      <c r="I22" s="8">
        <v>1</v>
      </c>
      <c r="J22" s="12">
        <v>12</v>
      </c>
      <c r="K22" s="12">
        <v>36</v>
      </c>
    </row>
    <row r="23" spans="1:11" x14ac:dyDescent="0.3">
      <c r="A23" s="8" t="s">
        <v>13</v>
      </c>
      <c r="B23" t="s">
        <v>43</v>
      </c>
      <c r="C23" s="22" t="str">
        <f>HYPERLINK("https://www.avito.ru/sankt-peterburg_pushkin/uslugi/priem_plat_i_elektronnogo_loma._skupka_plat_7804957025","7804957025")</f>
        <v>7804957025</v>
      </c>
      <c r="D23" s="26" t="s">
        <v>135</v>
      </c>
      <c r="E23" s="8">
        <v>7</v>
      </c>
      <c r="F23" s="8">
        <v>2</v>
      </c>
      <c r="G23" s="11">
        <v>0.28570000000000001</v>
      </c>
      <c r="H23" s="8">
        <v>1</v>
      </c>
      <c r="I23" s="8">
        <v>1</v>
      </c>
      <c r="J23" s="12">
        <v>50.4</v>
      </c>
      <c r="K23" s="12">
        <v>100.8</v>
      </c>
    </row>
    <row r="24" spans="1:11" x14ac:dyDescent="0.3">
      <c r="A24" s="8" t="s">
        <v>13</v>
      </c>
      <c r="B24" t="s">
        <v>21</v>
      </c>
      <c r="C24" s="22" t="str">
        <f>HYPERLINK("https://www.avito.ru/sankt-peterburg_kolpino/uslugi/priem_plat_i_elektronnogo_loma._skupka_plat_7805027133","7805027133")</f>
        <v>7805027133</v>
      </c>
      <c r="D24" s="26" t="s">
        <v>135</v>
      </c>
      <c r="E24" s="8">
        <v>17</v>
      </c>
      <c r="F24" s="8">
        <v>2</v>
      </c>
      <c r="G24" s="11">
        <v>0.1176</v>
      </c>
      <c r="H24" s="8">
        <v>1</v>
      </c>
      <c r="I24" s="8">
        <v>1</v>
      </c>
      <c r="J24" s="12">
        <v>43.2</v>
      </c>
      <c r="K24" s="12">
        <v>86.4</v>
      </c>
    </row>
    <row r="25" spans="1:11" x14ac:dyDescent="0.3">
      <c r="A25" s="8" t="s">
        <v>13</v>
      </c>
      <c r="B25" t="s">
        <v>43</v>
      </c>
      <c r="C25" s="22" t="str">
        <f>HYPERLINK("https://www.avito.ru/sankt-peterburg_pushkin/uslugi/priem_bu_akkumulyatorov_akb_7805155781","7805155781")</f>
        <v>7805155781</v>
      </c>
      <c r="D25" s="26" t="s">
        <v>134</v>
      </c>
      <c r="E25" s="8">
        <v>14</v>
      </c>
      <c r="F25" s="8">
        <v>2</v>
      </c>
      <c r="G25" s="11">
        <v>0.14280000000000001</v>
      </c>
      <c r="H25" s="8">
        <v>0</v>
      </c>
      <c r="I25" s="8">
        <v>2</v>
      </c>
      <c r="J25" s="12">
        <v>50.4</v>
      </c>
      <c r="K25" s="12">
        <v>100.8</v>
      </c>
    </row>
    <row r="26" spans="1:11" x14ac:dyDescent="0.3">
      <c r="A26" s="8" t="s">
        <v>13</v>
      </c>
      <c r="B26" t="s">
        <v>45</v>
      </c>
      <c r="C26" s="22" t="str">
        <f>HYPERLINK("https://www.avito.ru/sankt-peterburg_kronstadt/uslugi/skupka_radiodetaley_plat_priborov_7805163608","7805163608")</f>
        <v>7805163608</v>
      </c>
      <c r="D26" s="26" t="s">
        <v>135</v>
      </c>
      <c r="E26" s="8">
        <v>14</v>
      </c>
      <c r="F26" s="8">
        <v>2</v>
      </c>
      <c r="G26" s="11">
        <v>0.14280000000000001</v>
      </c>
      <c r="H26" s="8">
        <v>2</v>
      </c>
      <c r="I26" s="8">
        <v>0</v>
      </c>
      <c r="J26" s="12">
        <v>50.4</v>
      </c>
      <c r="K26" s="12">
        <v>100.8</v>
      </c>
    </row>
    <row r="27" spans="1:11" x14ac:dyDescent="0.3">
      <c r="A27" s="8" t="s">
        <v>13</v>
      </c>
      <c r="B27" t="s">
        <v>21</v>
      </c>
      <c r="C27" s="22" t="str">
        <f>HYPERLINK("https://www.avito.ru/sankt-peterburg_kolpino/uslugi/priem_avtomobilnyh_akkumulyatorov_bu_7805336972","7805336972")</f>
        <v>7805336972</v>
      </c>
      <c r="D27" s="26" t="s">
        <v>134</v>
      </c>
      <c r="E27" s="8">
        <v>9</v>
      </c>
      <c r="F27" s="8">
        <v>2</v>
      </c>
      <c r="G27" s="11">
        <v>0.22220000000000001</v>
      </c>
      <c r="H27" s="8">
        <v>1</v>
      </c>
      <c r="I27" s="8">
        <v>1</v>
      </c>
      <c r="J27" s="12">
        <v>50.4</v>
      </c>
      <c r="K27" s="12">
        <v>100.8</v>
      </c>
    </row>
    <row r="28" spans="1:11" x14ac:dyDescent="0.3">
      <c r="A28" s="8" t="s">
        <v>13</v>
      </c>
      <c r="B28" t="s">
        <v>31</v>
      </c>
      <c r="C28" s="22" t="str">
        <f>HYPERLINK("https://www.avito.ru/velikiy_novgorod/uslugi/priem_metalloloma_vyvoz_metalloloma_demontazh_7805448542","7805448542")</f>
        <v>7805448542</v>
      </c>
      <c r="D28" s="26" t="s">
        <v>131</v>
      </c>
      <c r="E28" s="8">
        <v>6</v>
      </c>
      <c r="F28" s="8">
        <v>2</v>
      </c>
      <c r="G28" s="11">
        <v>0.33329999999999999</v>
      </c>
      <c r="H28" s="8">
        <v>1</v>
      </c>
      <c r="I28" s="8">
        <v>1</v>
      </c>
      <c r="J28" s="12">
        <v>31.5</v>
      </c>
      <c r="K28" s="12">
        <v>63</v>
      </c>
    </row>
    <row r="29" spans="1:11" x14ac:dyDescent="0.3">
      <c r="A29" s="8" t="s">
        <v>13</v>
      </c>
      <c r="B29" t="s">
        <v>80</v>
      </c>
      <c r="C29" s="22" t="str">
        <f>HYPERLINK("https://www.avito.ru/sankt-peterburg_sestroretsk/uslugi/priem_i_vyvoz_metalloloma_spb_i_lo_7805597777","7805597777")</f>
        <v>7805597777</v>
      </c>
      <c r="D29" s="25" t="s">
        <v>131</v>
      </c>
      <c r="E29" s="8">
        <v>12</v>
      </c>
      <c r="F29" s="8">
        <v>2</v>
      </c>
      <c r="G29" s="11">
        <v>0.1666</v>
      </c>
      <c r="H29" s="8">
        <v>1</v>
      </c>
      <c r="I29" s="8">
        <v>1</v>
      </c>
      <c r="J29" s="12">
        <v>3535.7</v>
      </c>
      <c r="K29" s="12">
        <v>7071.4</v>
      </c>
    </row>
    <row r="30" spans="1:11" x14ac:dyDescent="0.3">
      <c r="A30" s="8" t="s">
        <v>13</v>
      </c>
      <c r="B30" t="s">
        <v>45</v>
      </c>
      <c r="C30" s="22" t="str">
        <f>HYPERLINK("https://www.avito.ru/sankt-peterburg_kronstadt/uslugi/sdat_staryy_akkumulyator_priem_akkumulyatorov_sdat_akb_7805669789","7805669789")</f>
        <v>7805669789</v>
      </c>
      <c r="D30" s="25" t="s">
        <v>134</v>
      </c>
      <c r="E30" s="8">
        <v>9</v>
      </c>
      <c r="F30" s="8">
        <v>2</v>
      </c>
      <c r="G30" s="11">
        <v>0.22220000000000001</v>
      </c>
      <c r="H30" s="8">
        <v>1</v>
      </c>
      <c r="I30" s="8">
        <v>1</v>
      </c>
      <c r="J30" s="12">
        <v>50.4</v>
      </c>
      <c r="K30" s="12">
        <v>100.8</v>
      </c>
    </row>
    <row r="31" spans="1:11" x14ac:dyDescent="0.3">
      <c r="A31" s="8" t="s">
        <v>13</v>
      </c>
      <c r="B31" t="s">
        <v>23</v>
      </c>
      <c r="C31" s="22" t="str">
        <f>HYPERLINK("https://www.avito.ru/sankt-peterburg/uslugi/sdat_reztsy_vktkpriem_loma_7836999512","7836999512")</f>
        <v>7836999512</v>
      </c>
      <c r="D31" s="26" t="s">
        <v>136</v>
      </c>
      <c r="E31" s="8">
        <v>98</v>
      </c>
      <c r="F31" s="8">
        <v>2</v>
      </c>
      <c r="G31" s="11">
        <v>2.0400000000000001E-2</v>
      </c>
      <c r="H31" s="8">
        <v>1</v>
      </c>
      <c r="I31" s="8">
        <v>1</v>
      </c>
      <c r="J31" s="12">
        <v>50.4</v>
      </c>
      <c r="K31" s="12">
        <v>100.8</v>
      </c>
    </row>
    <row r="32" spans="1:11" x14ac:dyDescent="0.3">
      <c r="A32" s="8" t="s">
        <v>13</v>
      </c>
      <c r="B32" t="s">
        <v>18</v>
      </c>
      <c r="C32" s="22" t="str">
        <f>HYPERLINK("https://www.avito.ru/petrozavodsk/uslugi/priem_metalloloma_vyvoz_metalloloma_demontazh_7837705504","7837705504")</f>
        <v>7837705504</v>
      </c>
      <c r="D32" s="26" t="s">
        <v>131</v>
      </c>
      <c r="E32" s="8">
        <v>22</v>
      </c>
      <c r="F32" s="8">
        <v>2</v>
      </c>
      <c r="G32" s="11">
        <v>9.0899999999999995E-2</v>
      </c>
      <c r="H32" s="8">
        <v>2</v>
      </c>
      <c r="I32" s="8">
        <v>0</v>
      </c>
      <c r="J32" s="12">
        <v>21</v>
      </c>
      <c r="K32" s="12">
        <v>42</v>
      </c>
    </row>
    <row r="33" spans="1:11" x14ac:dyDescent="0.3">
      <c r="A33" s="8" t="s">
        <v>13</v>
      </c>
      <c r="B33" t="s">
        <v>28</v>
      </c>
      <c r="C33" s="22" t="str">
        <f>HYPERLINK("https://www.avito.ru/arhangelsk/uslugi/priem_provodov._skupka_7869498610","7869498610")</f>
        <v>7869498610</v>
      </c>
      <c r="D33" s="25" t="s">
        <v>137</v>
      </c>
      <c r="E33" s="8">
        <v>57</v>
      </c>
      <c r="F33" s="8">
        <v>2</v>
      </c>
      <c r="G33" s="11">
        <v>3.5000000000000003E-2</v>
      </c>
      <c r="H33" s="8">
        <v>2</v>
      </c>
      <c r="I33" s="8">
        <v>0</v>
      </c>
      <c r="J33" s="12">
        <v>13.5</v>
      </c>
      <c r="K33" s="12">
        <v>27</v>
      </c>
    </row>
    <row r="34" spans="1:11" x14ac:dyDescent="0.3">
      <c r="A34" s="8" t="s">
        <v>13</v>
      </c>
      <c r="B34" t="s">
        <v>78</v>
      </c>
      <c r="C34" s="22" t="str">
        <f>HYPERLINK("https://www.avito.ru/sankt-peterburg/uslugi/priem_i_vyvoz_metalloloma_samovyvoz_loma_7805131284","7805131284")</f>
        <v>7805131284</v>
      </c>
      <c r="D34" s="25" t="s">
        <v>131</v>
      </c>
      <c r="E34" s="8">
        <v>1</v>
      </c>
      <c r="F34" s="8">
        <v>1</v>
      </c>
      <c r="G34" s="11">
        <v>1</v>
      </c>
      <c r="H34" s="8">
        <v>0</v>
      </c>
      <c r="I34" s="8">
        <v>1</v>
      </c>
      <c r="J34" s="12">
        <v>86.4</v>
      </c>
      <c r="K34" s="12">
        <v>86.4</v>
      </c>
    </row>
    <row r="35" spans="1:11" x14ac:dyDescent="0.3">
      <c r="A35" s="8" t="s">
        <v>13</v>
      </c>
      <c r="B35" t="s">
        <v>80</v>
      </c>
      <c r="C35" s="22" t="str">
        <f>HYPERLINK("https://www.avito.ru/sankt-peterburg_sestroretsk/uslugi/priem_bu_akkumulyatorov_7805145257","7805145257")</f>
        <v>7805145257</v>
      </c>
      <c r="D35" s="25" t="s">
        <v>134</v>
      </c>
      <c r="E35" s="8">
        <v>6</v>
      </c>
      <c r="F35" s="8">
        <v>1</v>
      </c>
      <c r="G35" s="11">
        <v>0.1666</v>
      </c>
      <c r="H35" s="8">
        <v>1</v>
      </c>
      <c r="I35" s="8">
        <v>0</v>
      </c>
      <c r="J35" s="12">
        <v>100.8</v>
      </c>
      <c r="K35" s="12">
        <v>100.8</v>
      </c>
    </row>
    <row r="36" spans="1:11" x14ac:dyDescent="0.3">
      <c r="A36" s="8" t="s">
        <v>13</v>
      </c>
      <c r="B36" t="s">
        <v>80</v>
      </c>
      <c r="C36" s="22" t="str">
        <f>HYPERLINK("https://www.avito.ru/sankt-peterburg_sestroretsk/uslugi/sdat_staryy_akkumulyator_priem_akkumulyatorov_sdat_akb_7805192096","7805192096")</f>
        <v>7805192096</v>
      </c>
      <c r="D36" s="25" t="s">
        <v>134</v>
      </c>
      <c r="E36" s="8">
        <v>2</v>
      </c>
      <c r="F36" s="8">
        <v>1</v>
      </c>
      <c r="G36" s="11">
        <v>0.5</v>
      </c>
      <c r="H36" s="8">
        <v>0</v>
      </c>
      <c r="I36" s="8">
        <v>1</v>
      </c>
      <c r="J36" s="12">
        <v>100.8</v>
      </c>
      <c r="K36" s="12">
        <v>100.8</v>
      </c>
    </row>
    <row r="37" spans="1:11" x14ac:dyDescent="0.3">
      <c r="A37" s="8" t="s">
        <v>13</v>
      </c>
      <c r="B37" t="s">
        <v>43</v>
      </c>
      <c r="C37" s="22" t="str">
        <f>HYPERLINK("https://www.avito.ru/sankt-peterburg_pushkin/uslugi/sdat_metallolom_spb_i_lo_7805352536","7805352536")</f>
        <v>7805352536</v>
      </c>
      <c r="D37" s="26" t="s">
        <v>131</v>
      </c>
      <c r="E37" s="8">
        <v>2</v>
      </c>
      <c r="F37" s="8">
        <v>1</v>
      </c>
      <c r="G37" s="11">
        <v>0.5</v>
      </c>
      <c r="H37" s="8">
        <v>0</v>
      </c>
      <c r="I37" s="8">
        <v>1</v>
      </c>
      <c r="J37" s="12">
        <v>100.8</v>
      </c>
      <c r="K37" s="12">
        <v>100.8</v>
      </c>
    </row>
    <row r="38" spans="1:11" x14ac:dyDescent="0.3">
      <c r="A38" s="8" t="s">
        <v>13</v>
      </c>
      <c r="B38" t="s">
        <v>25</v>
      </c>
      <c r="C38" s="22" t="str">
        <f>HYPERLINK("https://www.avito.ru/sankt-peterburg/uslugi/priem_kabelya_skupka_kabelya_priem_provodov_7805484457","7805484457")</f>
        <v>7805484457</v>
      </c>
      <c r="D38" s="25" t="s">
        <v>137</v>
      </c>
      <c r="E38" s="8">
        <v>17</v>
      </c>
      <c r="F38" s="8">
        <v>1</v>
      </c>
      <c r="G38" s="11">
        <v>5.8799999999999998E-2</v>
      </c>
      <c r="H38" s="8">
        <v>1</v>
      </c>
      <c r="I38" s="8">
        <v>0</v>
      </c>
      <c r="J38" s="12">
        <v>86.4</v>
      </c>
      <c r="K38" s="12">
        <v>86.4</v>
      </c>
    </row>
    <row r="39" spans="1:11" x14ac:dyDescent="0.3">
      <c r="A39" s="8" t="s">
        <v>13</v>
      </c>
      <c r="B39" t="s">
        <v>43</v>
      </c>
      <c r="C39" s="22" t="str">
        <f>HYPERLINK("https://www.avito.ru/sankt-peterburg_pushkin/uslugi/vyvoz_metalloloma_nerzhaveyka_bu_7805665299","7805665299")</f>
        <v>7805665299</v>
      </c>
      <c r="D39" s="25" t="s">
        <v>138</v>
      </c>
      <c r="E39" s="8">
        <v>2</v>
      </c>
      <c r="F39" s="8">
        <v>1</v>
      </c>
      <c r="G39" s="11">
        <v>0.5</v>
      </c>
      <c r="H39" s="8">
        <v>0</v>
      </c>
      <c r="I39" s="8">
        <v>1</v>
      </c>
      <c r="J39" s="12">
        <v>100.8</v>
      </c>
      <c r="K39" s="12">
        <v>100.8</v>
      </c>
    </row>
    <row r="40" spans="1:11" x14ac:dyDescent="0.3">
      <c r="A40" s="8" t="s">
        <v>13</v>
      </c>
      <c r="B40" t="s">
        <v>19</v>
      </c>
      <c r="C40" s="22" t="str">
        <f>HYPERLINK("https://www.avito.ru/sankt-peterburg/uslugi/priem_plat_i_elektronnogo_loma._skupka_plat_7805679386","7805679386")</f>
        <v>7805679386</v>
      </c>
      <c r="D40" s="25" t="s">
        <v>135</v>
      </c>
      <c r="E40" s="8">
        <v>30</v>
      </c>
      <c r="F40" s="8">
        <v>1</v>
      </c>
      <c r="G40" s="11">
        <v>3.3300000000000003E-2</v>
      </c>
      <c r="H40" s="8">
        <v>1</v>
      </c>
      <c r="I40" s="8">
        <v>0</v>
      </c>
      <c r="J40" s="12">
        <v>100.8</v>
      </c>
      <c r="K40" s="12">
        <v>100.8</v>
      </c>
    </row>
    <row r="41" spans="1:11" x14ac:dyDescent="0.3">
      <c r="A41" s="8" t="s">
        <v>13</v>
      </c>
      <c r="B41" t="s">
        <v>106</v>
      </c>
      <c r="C41" s="22" t="str">
        <f>HYPERLINK("https://www.avito.ru/sankt-peterburg/uslugi/priem_tsvetnogo_metalloloma_7805849015","7805849015")</f>
        <v>7805849015</v>
      </c>
      <c r="D41" s="25" t="s">
        <v>133</v>
      </c>
      <c r="E41" s="8">
        <v>4</v>
      </c>
      <c r="F41" s="8">
        <v>1</v>
      </c>
      <c r="G41" s="11">
        <v>0.25</v>
      </c>
      <c r="H41" s="8">
        <v>0</v>
      </c>
      <c r="I41" s="8">
        <v>1</v>
      </c>
      <c r="J41" s="12">
        <v>100.8</v>
      </c>
      <c r="K41" s="12">
        <v>100.8</v>
      </c>
    </row>
    <row r="42" spans="1:11" x14ac:dyDescent="0.3">
      <c r="A42" s="8" t="s">
        <v>13</v>
      </c>
      <c r="B42" t="s">
        <v>62</v>
      </c>
      <c r="C42" s="22" t="str">
        <f>HYPERLINK("https://www.avito.ru/sankt-peterburg/uslugi/skupka_volframa_provolokasdat_volfram_7836991577","7836991577")</f>
        <v>7836991577</v>
      </c>
      <c r="D42" s="25" t="s">
        <v>136</v>
      </c>
      <c r="E42" s="8">
        <v>4</v>
      </c>
      <c r="F42" s="8">
        <v>1</v>
      </c>
      <c r="G42" s="11">
        <v>0.25</v>
      </c>
      <c r="H42" s="8">
        <v>0</v>
      </c>
      <c r="I42" s="8">
        <v>1</v>
      </c>
      <c r="J42" s="12">
        <v>100.8</v>
      </c>
      <c r="K42" s="12">
        <v>100.8</v>
      </c>
    </row>
    <row r="43" spans="1:11" x14ac:dyDescent="0.3">
      <c r="A43" s="8" t="s">
        <v>13</v>
      </c>
      <c r="B43" t="s">
        <v>47</v>
      </c>
      <c r="C43" s="22" t="str">
        <f>HYPERLINK("https://www.avito.ru/cherepovets/uslugi/priem_metalloloma_vyvoz_metalloloma_demontazh_7837205601","7837205601")</f>
        <v>7837205601</v>
      </c>
      <c r="D43" s="26" t="s">
        <v>131</v>
      </c>
      <c r="E43" s="8">
        <v>8</v>
      </c>
      <c r="F43" s="8">
        <v>1</v>
      </c>
      <c r="G43" s="11">
        <v>0.125</v>
      </c>
      <c r="H43" s="8">
        <v>1</v>
      </c>
      <c r="I43" s="8">
        <v>0</v>
      </c>
      <c r="J43" s="12">
        <v>42</v>
      </c>
      <c r="K43" s="12">
        <v>42</v>
      </c>
    </row>
    <row r="44" spans="1:11" x14ac:dyDescent="0.3">
      <c r="A44" s="8" t="s">
        <v>13</v>
      </c>
      <c r="B44" t="s">
        <v>31</v>
      </c>
      <c r="C44" s="22" t="str">
        <f>HYPERLINK("https://www.avito.ru/velikiy_novgorod/uslugi/priem_metalloloma_vyvoz_metalloloma_demontazh_7837296315","7837296315")</f>
        <v>7837296315</v>
      </c>
      <c r="D44" s="25" t="s">
        <v>131</v>
      </c>
      <c r="E44" s="8">
        <v>11</v>
      </c>
      <c r="F44" s="8">
        <v>1</v>
      </c>
      <c r="G44" s="11">
        <v>9.0899999999999995E-2</v>
      </c>
      <c r="H44" s="8">
        <v>1</v>
      </c>
      <c r="I44" s="8">
        <v>0</v>
      </c>
      <c r="J44" s="12">
        <v>63</v>
      </c>
      <c r="K44" s="12">
        <v>63</v>
      </c>
    </row>
    <row r="45" spans="1:11" x14ac:dyDescent="0.3">
      <c r="A45" s="8" t="s">
        <v>13</v>
      </c>
      <c r="B45" t="s">
        <v>28</v>
      </c>
      <c r="C45" s="22" t="str">
        <f>HYPERLINK("https://www.avito.ru/arhangelsk/uslugi/vyvoz_metalloloma_skupka_medi_sdat_med_7837492863","7837492863")</f>
        <v>7837492863</v>
      </c>
      <c r="D45" s="25" t="s">
        <v>140</v>
      </c>
      <c r="E45" s="8">
        <v>10</v>
      </c>
      <c r="F45" s="8">
        <v>1</v>
      </c>
      <c r="G45" s="11">
        <v>0.1</v>
      </c>
      <c r="H45" s="8">
        <v>1</v>
      </c>
      <c r="I45" s="8">
        <v>0</v>
      </c>
      <c r="J45" s="12">
        <v>37.799999999999997</v>
      </c>
      <c r="K45" s="12">
        <v>37.799999999999997</v>
      </c>
    </row>
    <row r="46" spans="1:11" x14ac:dyDescent="0.3">
      <c r="A46" s="8" t="s">
        <v>13</v>
      </c>
      <c r="B46" t="s">
        <v>18</v>
      </c>
      <c r="C46" s="22" t="str">
        <f>HYPERLINK("https://www.avito.ru/petrozavodsk/uslugi/vyvoz_metalloloma_skupka_medi_sdat_med_7837525486","7837525486")</f>
        <v>7837525486</v>
      </c>
      <c r="D46" s="26" t="s">
        <v>140</v>
      </c>
      <c r="E46" s="8">
        <v>41</v>
      </c>
      <c r="F46" s="8">
        <v>1</v>
      </c>
      <c r="G46" s="11">
        <v>2.4299999999999999E-2</v>
      </c>
      <c r="H46" s="8">
        <v>0</v>
      </c>
      <c r="I46" s="8">
        <v>1</v>
      </c>
      <c r="J46" s="12">
        <v>42</v>
      </c>
      <c r="K46" s="12">
        <v>42</v>
      </c>
    </row>
    <row r="47" spans="1:11" x14ac:dyDescent="0.3">
      <c r="A47" s="8" t="s">
        <v>13</v>
      </c>
      <c r="B47" t="s">
        <v>18</v>
      </c>
      <c r="C47" s="22" t="str">
        <f>HYPERLINK("https://www.avito.ru/petrozavodsk/uslugi/vyvoz_metalloloma_nerzhaveyka_bu_7837580977","7837580977")</f>
        <v>7837580977</v>
      </c>
      <c r="D47" s="25" t="s">
        <v>138</v>
      </c>
      <c r="E47" s="8">
        <v>3</v>
      </c>
      <c r="F47" s="8">
        <v>1</v>
      </c>
      <c r="G47" s="11">
        <v>0.33329999999999999</v>
      </c>
      <c r="H47" s="8">
        <v>1</v>
      </c>
      <c r="I47" s="8">
        <v>0</v>
      </c>
      <c r="J47" s="12">
        <v>42</v>
      </c>
      <c r="K47" s="12">
        <v>42</v>
      </c>
    </row>
    <row r="48" spans="1:11" x14ac:dyDescent="0.3">
      <c r="A48" s="8" t="s">
        <v>13</v>
      </c>
      <c r="B48" t="s">
        <v>31</v>
      </c>
      <c r="C48" s="22" t="str">
        <f>HYPERLINK("https://www.avito.ru/velikiy_novgorod/uslugi/vyvoz_metalloloma_nerzhaveyka_bu_7837617420","7837617420")</f>
        <v>7837617420</v>
      </c>
      <c r="D48" s="25" t="s">
        <v>138</v>
      </c>
      <c r="E48" s="8">
        <v>2</v>
      </c>
      <c r="F48" s="8">
        <v>1</v>
      </c>
      <c r="G48" s="11">
        <v>0.5</v>
      </c>
      <c r="H48" s="8">
        <v>0</v>
      </c>
      <c r="I48" s="8">
        <v>1</v>
      </c>
      <c r="J48" s="12">
        <v>63</v>
      </c>
      <c r="K48" s="12">
        <v>63</v>
      </c>
    </row>
    <row r="49" spans="1:11" x14ac:dyDescent="0.3">
      <c r="A49" s="8" t="s">
        <v>13</v>
      </c>
      <c r="B49" t="s">
        <v>38</v>
      </c>
      <c r="C49" s="22" t="str">
        <f>HYPERLINK("https://www.avito.ru/pskov/uslugi/priem_tsvetnogo_metalloloma_7868957773","7868957773")</f>
        <v>7868957773</v>
      </c>
      <c r="D49" s="25" t="s">
        <v>133</v>
      </c>
      <c r="E49" s="8">
        <v>2</v>
      </c>
      <c r="F49" s="8">
        <v>1</v>
      </c>
      <c r="G49" s="11">
        <v>0.5</v>
      </c>
      <c r="H49" s="8">
        <v>0</v>
      </c>
      <c r="I49" s="8">
        <v>1</v>
      </c>
      <c r="J49" s="12">
        <v>31.2</v>
      </c>
      <c r="K49" s="12">
        <v>31.2</v>
      </c>
    </row>
    <row r="50" spans="1:11" x14ac:dyDescent="0.3">
      <c r="A50" s="8" t="s">
        <v>13</v>
      </c>
      <c r="B50" t="s">
        <v>38</v>
      </c>
      <c r="C50" s="22" t="str">
        <f>HYPERLINK("https://www.avito.ru/pskov/uslugi/priem_plat_i_elektronnogo_loma._skupka_plat_7869146241","7869146241")</f>
        <v>7869146241</v>
      </c>
      <c r="D50" s="25" t="s">
        <v>135</v>
      </c>
      <c r="E50" s="8">
        <v>9</v>
      </c>
      <c r="F50" s="8">
        <v>1</v>
      </c>
      <c r="G50" s="11">
        <v>0.1111</v>
      </c>
      <c r="H50" s="8">
        <v>1</v>
      </c>
      <c r="I50" s="8">
        <v>0</v>
      </c>
      <c r="J50" s="12">
        <v>39</v>
      </c>
      <c r="K50" s="12">
        <v>39</v>
      </c>
    </row>
    <row r="51" spans="1:11" x14ac:dyDescent="0.3">
      <c r="A51" s="8" t="s">
        <v>13</v>
      </c>
      <c r="B51" t="s">
        <v>28</v>
      </c>
      <c r="C51" s="22" t="str">
        <f>HYPERLINK("https://www.avito.ru/arhangelsk/uslugi/priem_tsvetnogo_metalloloma_7869230512","7869230512")</f>
        <v>7869230512</v>
      </c>
      <c r="D51" s="26" t="s">
        <v>133</v>
      </c>
      <c r="E51" s="8">
        <v>6</v>
      </c>
      <c r="F51" s="8">
        <v>1</v>
      </c>
      <c r="G51" s="11">
        <v>0.1666</v>
      </c>
      <c r="H51" s="8">
        <v>0</v>
      </c>
      <c r="I51" s="8">
        <v>1</v>
      </c>
      <c r="J51" s="12">
        <v>21.6</v>
      </c>
      <c r="K51" s="12">
        <v>21.6</v>
      </c>
    </row>
    <row r="52" spans="1:11" x14ac:dyDescent="0.3">
      <c r="A52" s="8" t="s">
        <v>13</v>
      </c>
      <c r="B52" t="s">
        <v>115</v>
      </c>
      <c r="C52" s="22" t="str">
        <f>HYPERLINK("https://www.avito.ru/sankt-peterburg/uslugi/priem_metalloloma_vyvoz_metalloloma_demontazh_7869423789","7869423789")</f>
        <v>7869423789</v>
      </c>
      <c r="D52" s="26" t="s">
        <v>131</v>
      </c>
      <c r="E52" s="8">
        <v>3</v>
      </c>
      <c r="F52" s="8">
        <v>1</v>
      </c>
      <c r="G52" s="11">
        <v>0.33329999999999999</v>
      </c>
      <c r="H52" s="8">
        <v>1</v>
      </c>
      <c r="I52" s="8">
        <v>0</v>
      </c>
      <c r="J52" s="12">
        <v>72</v>
      </c>
      <c r="K52" s="12">
        <v>72</v>
      </c>
    </row>
    <row r="53" spans="1:11" x14ac:dyDescent="0.3">
      <c r="A53" s="8" t="s">
        <v>13</v>
      </c>
      <c r="B53" t="s">
        <v>47</v>
      </c>
      <c r="C53" s="22" t="str">
        <f>HYPERLINK("https://www.avito.ru/cherepovets/uslugi/priem_plat_i_elektronnogo_loma._skupka_plat_7869429952","7869429952")</f>
        <v>7869429952</v>
      </c>
      <c r="D53" s="26" t="s">
        <v>135</v>
      </c>
      <c r="E53" s="8">
        <v>14</v>
      </c>
      <c r="F53" s="8">
        <v>1</v>
      </c>
      <c r="G53" s="11">
        <v>7.1400000000000005E-2</v>
      </c>
      <c r="H53" s="8">
        <v>0</v>
      </c>
      <c r="I53" s="8">
        <v>1</v>
      </c>
      <c r="J53" s="12">
        <v>24</v>
      </c>
      <c r="K53" s="12">
        <v>24</v>
      </c>
    </row>
    <row r="54" spans="1:11" x14ac:dyDescent="0.3">
      <c r="A54" s="8" t="s">
        <v>13</v>
      </c>
      <c r="B54" t="s">
        <v>41</v>
      </c>
      <c r="C54" s="22" t="str">
        <f>HYPERLINK("https://www.avito.ru/vologda/uslugi/priem_plat_i_elektronnogo_loma._skupka_plat_7869904242","7869904242")</f>
        <v>7869904242</v>
      </c>
      <c r="D54" s="25" t="s">
        <v>135</v>
      </c>
      <c r="E54" s="8">
        <v>33</v>
      </c>
      <c r="F54" s="8">
        <v>1</v>
      </c>
      <c r="G54" s="11">
        <v>3.0300000000000001E-2</v>
      </c>
      <c r="H54" s="8">
        <v>0</v>
      </c>
      <c r="I54" s="8">
        <v>1</v>
      </c>
      <c r="J54" s="12">
        <v>36</v>
      </c>
      <c r="K54" s="12">
        <v>36</v>
      </c>
    </row>
    <row r="55" spans="1:11" x14ac:dyDescent="0.3">
      <c r="A55" s="8" t="s">
        <v>13</v>
      </c>
      <c r="B55" t="s">
        <v>11</v>
      </c>
      <c r="C55" s="22" t="str">
        <f>HYPERLINK("https://www.avito.ru/sankt-peterburg/uslugi/demontazh_i_snos_zdaniy_sooruzheniy_7901344856","7901344856")</f>
        <v>7901344856</v>
      </c>
      <c r="D55" s="25" t="s">
        <v>49</v>
      </c>
      <c r="E55" s="8">
        <v>3</v>
      </c>
      <c r="F55" s="8">
        <v>1</v>
      </c>
      <c r="G55" s="11">
        <v>0.33329999999999999</v>
      </c>
      <c r="H55" s="8">
        <v>1</v>
      </c>
      <c r="I55" s="8">
        <v>0</v>
      </c>
      <c r="J55" s="12">
        <v>108.71</v>
      </c>
      <c r="K55" s="12">
        <v>108.71</v>
      </c>
    </row>
    <row r="56" spans="1:11" x14ac:dyDescent="0.3">
      <c r="A56" s="8" t="s">
        <v>13</v>
      </c>
      <c r="B56" t="s">
        <v>117</v>
      </c>
      <c r="C56" s="22" t="str">
        <f>HYPERLINK("https://www.avito.ru/volosovo/uslugi/priem_metalloloma_vyvoz_metalloloma_demontazh_7901915394","7901915394")</f>
        <v>7901915394</v>
      </c>
      <c r="D56" s="25" t="s">
        <v>131</v>
      </c>
      <c r="E56" s="8">
        <v>5</v>
      </c>
      <c r="F56" s="8">
        <v>1</v>
      </c>
      <c r="G56" s="11">
        <v>0.2</v>
      </c>
      <c r="H56" s="8">
        <v>1</v>
      </c>
      <c r="I56" s="8">
        <v>0</v>
      </c>
      <c r="J56" s="12">
        <v>75.599999999999994</v>
      </c>
      <c r="K56" s="12">
        <v>75.599999999999994</v>
      </c>
    </row>
    <row r="57" spans="1:11" x14ac:dyDescent="0.3">
      <c r="A57" s="8" t="s">
        <v>13</v>
      </c>
      <c r="B57" t="s">
        <v>41</v>
      </c>
      <c r="C57" s="22" t="str">
        <f>HYPERLINK("https://www.avito.ru/vologda/uslugi/sdat_metallolom_7804957314","7804957314")</f>
        <v>7804957314</v>
      </c>
      <c r="D57" s="25" t="s">
        <v>131</v>
      </c>
      <c r="E57" s="8">
        <v>9</v>
      </c>
      <c r="F57" s="8">
        <v>0</v>
      </c>
      <c r="G57" s="11">
        <v>0</v>
      </c>
      <c r="H57" s="8">
        <v>0</v>
      </c>
      <c r="I57" s="8">
        <v>0</v>
      </c>
      <c r="J57" s="12" t="s">
        <v>50</v>
      </c>
      <c r="K57" s="12">
        <v>63</v>
      </c>
    </row>
    <row r="58" spans="1:11" x14ac:dyDescent="0.3">
      <c r="A58" s="8" t="s">
        <v>13</v>
      </c>
      <c r="B58" t="s">
        <v>47</v>
      </c>
      <c r="C58" s="22" t="str">
        <f>HYPERLINK("https://www.avito.ru/cherepovets/uslugi/priem_i_vyvoz_metalloloma_7804963380","7804963380")</f>
        <v>7804963380</v>
      </c>
      <c r="D58" s="25" t="s">
        <v>131</v>
      </c>
      <c r="E58" s="8">
        <v>6</v>
      </c>
      <c r="F58" s="8">
        <v>0</v>
      </c>
      <c r="G58" s="11">
        <v>0</v>
      </c>
      <c r="H58" s="8">
        <v>0</v>
      </c>
      <c r="I58" s="8">
        <v>0</v>
      </c>
      <c r="J58" s="12" t="s">
        <v>50</v>
      </c>
      <c r="K58" s="12">
        <v>42</v>
      </c>
    </row>
    <row r="59" spans="1:11" x14ac:dyDescent="0.3">
      <c r="A59" s="8" t="s">
        <v>13</v>
      </c>
      <c r="B59" t="s">
        <v>53</v>
      </c>
      <c r="C59" s="22" t="str">
        <f>HYPERLINK("https://www.avito.ru/svetogorsk/uslugi/skupka_i_vyvoz_metalloloma_v_spb_i_lo_s_demontazhem_7804972636","7804972636")</f>
        <v>7804972636</v>
      </c>
      <c r="D59" s="26" t="s">
        <v>131</v>
      </c>
      <c r="E59" s="8">
        <v>0</v>
      </c>
      <c r="F59" s="8">
        <v>0</v>
      </c>
      <c r="G59" s="11" t="s">
        <v>50</v>
      </c>
      <c r="H59" s="8">
        <v>0</v>
      </c>
      <c r="I59" s="8">
        <v>0</v>
      </c>
      <c r="J59" s="12" t="s">
        <v>50</v>
      </c>
      <c r="K59" s="12">
        <v>21.6</v>
      </c>
    </row>
    <row r="60" spans="1:11" x14ac:dyDescent="0.3">
      <c r="A60" s="8" t="s">
        <v>13</v>
      </c>
      <c r="B60" t="s">
        <v>66</v>
      </c>
      <c r="C60" s="22" t="str">
        <f>HYPERLINK("https://www.avito.ru/syasstroy/uslugi/priem_metalloloma_vyvoz_metalloloma_demontazh_7804993312","7804993312")</f>
        <v>7804993312</v>
      </c>
      <c r="D60" s="25" t="s">
        <v>131</v>
      </c>
      <c r="E60" s="8">
        <v>1</v>
      </c>
      <c r="F60" s="8">
        <v>0</v>
      </c>
      <c r="G60" s="11">
        <v>0</v>
      </c>
      <c r="H60" s="8">
        <v>0</v>
      </c>
      <c r="I60" s="8">
        <v>0</v>
      </c>
      <c r="J60" s="12" t="s">
        <v>50</v>
      </c>
      <c r="K60" s="12">
        <v>21.6</v>
      </c>
    </row>
    <row r="61" spans="1:11" x14ac:dyDescent="0.3">
      <c r="A61" s="8" t="s">
        <v>13</v>
      </c>
      <c r="B61" t="s">
        <v>67</v>
      </c>
      <c r="C61" s="22" t="str">
        <f>HYPERLINK("https://www.avito.ru/lodeynoe_pole/uslugi/skupka_i_vyvoz_metalloloma_v_spb_i_lo_s_demontazhem_7805034704","7805034704")</f>
        <v>7805034704</v>
      </c>
      <c r="D61" s="25" t="s">
        <v>131</v>
      </c>
      <c r="E61" s="8">
        <v>1</v>
      </c>
      <c r="F61" s="8">
        <v>0</v>
      </c>
      <c r="G61" s="11">
        <v>0</v>
      </c>
      <c r="H61" s="8">
        <v>0</v>
      </c>
      <c r="I61" s="8">
        <v>0</v>
      </c>
      <c r="J61" s="12" t="s">
        <v>50</v>
      </c>
      <c r="K61" s="12">
        <v>21.6</v>
      </c>
    </row>
    <row r="62" spans="1:11" x14ac:dyDescent="0.3">
      <c r="A62" s="8" t="s">
        <v>13</v>
      </c>
      <c r="B62" t="s">
        <v>68</v>
      </c>
      <c r="C62" s="22" t="str">
        <f>HYPERLINK("https://www.avito.ru/sankt-peterburg/uslugi/skupka_radiodetaley_plat_priborov_7805035612","7805035612")</f>
        <v>7805035612</v>
      </c>
      <c r="D62" s="25" t="s">
        <v>135</v>
      </c>
      <c r="E62" s="8">
        <v>7</v>
      </c>
      <c r="F62" s="8">
        <v>0</v>
      </c>
      <c r="G62" s="11">
        <v>0</v>
      </c>
      <c r="H62" s="8">
        <v>0</v>
      </c>
      <c r="I62" s="8">
        <v>0</v>
      </c>
      <c r="J62" s="12" t="s">
        <v>50</v>
      </c>
      <c r="K62" s="12">
        <v>100.8</v>
      </c>
    </row>
    <row r="63" spans="1:11" x14ac:dyDescent="0.3">
      <c r="A63" s="8" t="s">
        <v>13</v>
      </c>
      <c r="B63" t="s">
        <v>55</v>
      </c>
      <c r="C63" s="22" t="str">
        <f>HYPERLINK("https://www.avito.ru/vyborg/uslugi/sdat_metallolom_spb_i_lo_7805045884","7805045884")</f>
        <v>7805045884</v>
      </c>
      <c r="D63" s="25" t="s">
        <v>131</v>
      </c>
      <c r="E63" s="8">
        <v>3</v>
      </c>
      <c r="F63" s="8">
        <v>0</v>
      </c>
      <c r="G63" s="11">
        <v>0</v>
      </c>
      <c r="H63" s="8">
        <v>0</v>
      </c>
      <c r="I63" s="8">
        <v>0</v>
      </c>
      <c r="J63" s="12" t="s">
        <v>50</v>
      </c>
      <c r="K63" s="12">
        <v>21.6</v>
      </c>
    </row>
    <row r="64" spans="1:11" x14ac:dyDescent="0.3">
      <c r="A64" s="8" t="s">
        <v>13</v>
      </c>
      <c r="B64" t="s">
        <v>69</v>
      </c>
      <c r="C64" s="22" t="str">
        <f>HYPERLINK("https://www.avito.ru/kingisepp/uslugi/sdat_metallolom_spb_i_lo_7805075141","7805075141")</f>
        <v>7805075141</v>
      </c>
      <c r="D64" s="25" t="s">
        <v>131</v>
      </c>
      <c r="E64" s="8">
        <v>6</v>
      </c>
      <c r="F64" s="8">
        <v>0</v>
      </c>
      <c r="G64" s="11">
        <v>0</v>
      </c>
      <c r="H64" s="8">
        <v>0</v>
      </c>
      <c r="I64" s="8">
        <v>0</v>
      </c>
      <c r="J64" s="12" t="s">
        <v>50</v>
      </c>
      <c r="K64" s="12">
        <v>21.6</v>
      </c>
    </row>
    <row r="65" spans="1:11" x14ac:dyDescent="0.3">
      <c r="A65" s="8" t="s">
        <v>13</v>
      </c>
      <c r="B65" t="s">
        <v>71</v>
      </c>
      <c r="C65" s="22" t="str">
        <f>HYPERLINK("https://www.avito.ru/slantsy/uslugi/priem_i_vyvoz_metalloloma_samovyvoz_loma_7805085758","7805085758")</f>
        <v>7805085758</v>
      </c>
      <c r="D65" s="25" t="s">
        <v>131</v>
      </c>
      <c r="E65" s="8">
        <v>2</v>
      </c>
      <c r="F65" s="8">
        <v>0</v>
      </c>
      <c r="G65" s="11">
        <v>0</v>
      </c>
      <c r="H65" s="8">
        <v>0</v>
      </c>
      <c r="I65" s="8">
        <v>0</v>
      </c>
      <c r="J65" s="12" t="s">
        <v>50</v>
      </c>
      <c r="K65" s="12">
        <v>21.6</v>
      </c>
    </row>
    <row r="66" spans="1:11" x14ac:dyDescent="0.3">
      <c r="A66" s="8" t="s">
        <v>13</v>
      </c>
      <c r="B66" t="s">
        <v>73</v>
      </c>
      <c r="C66" s="22" t="str">
        <f>HYPERLINK("https://www.avito.ru/sankt-peterburg_zelenogorsk/uslugi/skupka_i_vyvoz_metalloloma_v_spb_i_lo_s_demontazhem_7805102664","7805102664")</f>
        <v>7805102664</v>
      </c>
      <c r="D66" s="26" t="s">
        <v>131</v>
      </c>
      <c r="E66" s="8">
        <v>0</v>
      </c>
      <c r="F66" s="8">
        <v>0</v>
      </c>
      <c r="G66" s="11" t="s">
        <v>50</v>
      </c>
      <c r="H66" s="8">
        <v>0</v>
      </c>
      <c r="I66" s="8">
        <v>0</v>
      </c>
      <c r="J66" s="12" t="s">
        <v>50</v>
      </c>
      <c r="K66" s="12">
        <v>100.8</v>
      </c>
    </row>
    <row r="67" spans="1:11" x14ac:dyDescent="0.3">
      <c r="A67" s="8" t="s">
        <v>13</v>
      </c>
      <c r="B67" t="s">
        <v>75</v>
      </c>
      <c r="C67" s="22" t="str">
        <f>HYPERLINK("https://www.avito.ru/tajtsy/uslugi/skupka_i_vyvoz_metalloloma_v_spb_i_lo_s_demontazhem_7805103130","7805103130")</f>
        <v>7805103130</v>
      </c>
      <c r="D67" s="26" t="s">
        <v>131</v>
      </c>
      <c r="E67" s="8">
        <v>0</v>
      </c>
      <c r="F67" s="8">
        <v>0</v>
      </c>
      <c r="G67" s="11" t="s">
        <v>50</v>
      </c>
      <c r="H67" s="8">
        <v>0</v>
      </c>
      <c r="I67" s="8">
        <v>0</v>
      </c>
      <c r="J67" s="12" t="s">
        <v>50</v>
      </c>
      <c r="K67" s="12">
        <v>21.6</v>
      </c>
    </row>
    <row r="68" spans="1:11" x14ac:dyDescent="0.3">
      <c r="A68" s="8" t="s">
        <v>13</v>
      </c>
      <c r="B68" t="s">
        <v>77</v>
      </c>
      <c r="C68" s="22" t="str">
        <f>HYPERLINK("https://www.avito.ru/leningradskaya_oblast_kommunar/uslugi/skupka_i_vyvoz_metalloloma_v_spb_i_lo_s_demontazhem_7805106077","7805106077")</f>
        <v>7805106077</v>
      </c>
      <c r="D68" s="26" t="s">
        <v>131</v>
      </c>
      <c r="E68" s="8">
        <v>2</v>
      </c>
      <c r="F68" s="8">
        <v>0</v>
      </c>
      <c r="G68" s="11">
        <v>0</v>
      </c>
      <c r="H68" s="8">
        <v>0</v>
      </c>
      <c r="I68" s="8">
        <v>0</v>
      </c>
      <c r="J68" s="12" t="s">
        <v>50</v>
      </c>
      <c r="K68" s="12">
        <v>21.6</v>
      </c>
    </row>
    <row r="69" spans="1:11" x14ac:dyDescent="0.3">
      <c r="A69" s="8" t="s">
        <v>13</v>
      </c>
      <c r="B69" t="s">
        <v>73</v>
      </c>
      <c r="C69" s="22" t="str">
        <f>HYPERLINK("https://www.avito.ru/sankt-peterburg_zelenogorsk/uslugi/priem_provodov._skupka_7805175433","7805175433")</f>
        <v>7805175433</v>
      </c>
      <c r="D69" s="26" t="s">
        <v>137</v>
      </c>
      <c r="E69" s="8">
        <v>6</v>
      </c>
      <c r="F69" s="8">
        <v>0</v>
      </c>
      <c r="G69" s="11">
        <v>0</v>
      </c>
      <c r="H69" s="8">
        <v>0</v>
      </c>
      <c r="I69" s="8">
        <v>0</v>
      </c>
      <c r="J69" s="12" t="s">
        <v>50</v>
      </c>
      <c r="K69" s="12">
        <v>100.8</v>
      </c>
    </row>
    <row r="70" spans="1:11" x14ac:dyDescent="0.3">
      <c r="A70" s="8" t="s">
        <v>13</v>
      </c>
      <c r="B70" t="s">
        <v>43</v>
      </c>
      <c r="C70" s="22" t="str">
        <f>HYPERLINK("https://www.avito.ru/sankt-peterburg_pushkin/uslugi/priem_kabelya_provodov_7805201675","7805201675")</f>
        <v>7805201675</v>
      </c>
      <c r="D70" s="25" t="s">
        <v>137</v>
      </c>
      <c r="E70" s="8">
        <v>1</v>
      </c>
      <c r="F70" s="8">
        <v>0</v>
      </c>
      <c r="G70" s="11">
        <v>0</v>
      </c>
      <c r="H70" s="8">
        <v>0</v>
      </c>
      <c r="I70" s="8">
        <v>0</v>
      </c>
      <c r="J70" s="12" t="s">
        <v>50</v>
      </c>
      <c r="K70" s="12">
        <v>100.8</v>
      </c>
    </row>
    <row r="71" spans="1:11" x14ac:dyDescent="0.3">
      <c r="A71" s="8" t="s">
        <v>13</v>
      </c>
      <c r="B71" t="s">
        <v>82</v>
      </c>
      <c r="C71" s="22" t="str">
        <f>HYPERLINK("https://www.avito.ru/kommynary/uslugi/sdat_metallolom_spb_i_lo_7805206135","7805206135")</f>
        <v>7805206135</v>
      </c>
      <c r="D71" s="25" t="s">
        <v>131</v>
      </c>
      <c r="E71" s="8">
        <v>0</v>
      </c>
      <c r="F71" s="8">
        <v>0</v>
      </c>
      <c r="G71" s="11" t="s">
        <v>50</v>
      </c>
      <c r="H71" s="8">
        <v>0</v>
      </c>
      <c r="I71" s="8">
        <v>0</v>
      </c>
      <c r="J71" s="12" t="s">
        <v>50</v>
      </c>
      <c r="K71" s="12">
        <v>21.6</v>
      </c>
    </row>
    <row r="72" spans="1:11" x14ac:dyDescent="0.3">
      <c r="A72" s="8" t="s">
        <v>13</v>
      </c>
      <c r="B72" t="s">
        <v>84</v>
      </c>
      <c r="C72" s="22" t="str">
        <f>HYPERLINK("https://www.avito.ru/leningradskaya_oblast_lebyazhe/uslugi/priem_metalloloma_vyvoz_metalloloma_demontazh_7805241115","7805241115")</f>
        <v>7805241115</v>
      </c>
      <c r="D72" s="26" t="s">
        <v>131</v>
      </c>
      <c r="E72" s="8">
        <v>3</v>
      </c>
      <c r="F72" s="8">
        <v>0</v>
      </c>
      <c r="G72" s="11">
        <v>0</v>
      </c>
      <c r="H72" s="8">
        <v>0</v>
      </c>
      <c r="I72" s="8">
        <v>0</v>
      </c>
      <c r="J72" s="12" t="s">
        <v>50</v>
      </c>
      <c r="K72" s="12">
        <v>54</v>
      </c>
    </row>
    <row r="73" spans="1:11" x14ac:dyDescent="0.3">
      <c r="A73" s="8" t="s">
        <v>13</v>
      </c>
      <c r="B73" t="s">
        <v>85</v>
      </c>
      <c r="C73" s="22" t="str">
        <f>HYPERLINK("https://www.avito.ru/sankt-peterburg/uslugi/priem_metalloloma._nerzhaveyka_bu_7805260301","7805260301")</f>
        <v>7805260301</v>
      </c>
      <c r="D73" s="25" t="s">
        <v>138</v>
      </c>
      <c r="E73" s="8">
        <v>4</v>
      </c>
      <c r="F73" s="8">
        <v>0</v>
      </c>
      <c r="G73" s="11">
        <v>0</v>
      </c>
      <c r="H73" s="8">
        <v>0</v>
      </c>
      <c r="I73" s="8">
        <v>0</v>
      </c>
      <c r="J73" s="12" t="s">
        <v>50</v>
      </c>
      <c r="K73" s="12">
        <v>100.8</v>
      </c>
    </row>
    <row r="74" spans="1:11" x14ac:dyDescent="0.3">
      <c r="A74" s="8" t="s">
        <v>13</v>
      </c>
      <c r="B74" t="s">
        <v>87</v>
      </c>
      <c r="C74" s="22" t="str">
        <f>HYPERLINK("https://www.avito.ru/yanino-1/uslugi/priem_metalloloma_vyvoz_metalloloma_demontazh_7805268521","7805268521")</f>
        <v>7805268521</v>
      </c>
      <c r="D74" s="25" t="s">
        <v>131</v>
      </c>
      <c r="E74" s="8">
        <v>2</v>
      </c>
      <c r="F74" s="8">
        <v>0</v>
      </c>
      <c r="G74" s="11">
        <v>0</v>
      </c>
      <c r="H74" s="8">
        <v>0</v>
      </c>
      <c r="I74" s="8">
        <v>0</v>
      </c>
      <c r="J74" s="12" t="s">
        <v>50</v>
      </c>
      <c r="K74" s="12">
        <v>21.6</v>
      </c>
    </row>
    <row r="75" spans="1:11" x14ac:dyDescent="0.3">
      <c r="A75" s="8" t="s">
        <v>13</v>
      </c>
      <c r="B75" t="s">
        <v>88</v>
      </c>
      <c r="C75" s="22" t="str">
        <f>HYPERLINK("https://www.avito.ru/sankt-peterburg/uslugi/sdat_metallolom_spb_i_lo_7805276749","7805276749")</f>
        <v>7805276749</v>
      </c>
      <c r="D75" s="25" t="s">
        <v>131</v>
      </c>
      <c r="E75" s="8">
        <v>0</v>
      </c>
      <c r="F75" s="8">
        <v>0</v>
      </c>
      <c r="G75" s="11" t="s">
        <v>50</v>
      </c>
      <c r="H75" s="8">
        <v>0</v>
      </c>
      <c r="I75" s="8">
        <v>0</v>
      </c>
      <c r="J75" s="12" t="s">
        <v>50</v>
      </c>
      <c r="K75" s="12">
        <v>100.8</v>
      </c>
    </row>
    <row r="76" spans="1:11" x14ac:dyDescent="0.3">
      <c r="A76" s="8" t="s">
        <v>13</v>
      </c>
      <c r="B76" t="s">
        <v>57</v>
      </c>
      <c r="C76" s="22" t="str">
        <f>HYPERLINK("https://www.avito.ru/sankt-peterburg_peterhof/uslugi/priem_i_vyvoz_metalloloma_spb_i_lo_7805284931","7805284931")</f>
        <v>7805284931</v>
      </c>
      <c r="D76" s="26" t="s">
        <v>131</v>
      </c>
      <c r="E76" s="8">
        <v>0</v>
      </c>
      <c r="F76" s="8">
        <v>0</v>
      </c>
      <c r="G76" s="11" t="s">
        <v>50</v>
      </c>
      <c r="H76" s="8">
        <v>0</v>
      </c>
      <c r="I76" s="8">
        <v>0</v>
      </c>
      <c r="J76" s="12" t="s">
        <v>50</v>
      </c>
      <c r="K76" s="12">
        <v>100.8</v>
      </c>
    </row>
    <row r="77" spans="1:11" x14ac:dyDescent="0.3">
      <c r="A77" s="8" t="s">
        <v>13</v>
      </c>
      <c r="B77" t="s">
        <v>89</v>
      </c>
      <c r="C77" s="22" t="str">
        <f>HYPERLINK("https://www.avito.ru/sankt-peterburg/uslugi/priem_kabelya_provodov_7805319819","7805319819")</f>
        <v>7805319819</v>
      </c>
      <c r="D77" s="25" t="s">
        <v>137</v>
      </c>
      <c r="E77" s="8">
        <v>1</v>
      </c>
      <c r="F77" s="8">
        <v>0</v>
      </c>
      <c r="G77" s="11">
        <v>0</v>
      </c>
      <c r="H77" s="8">
        <v>0</v>
      </c>
      <c r="I77" s="8">
        <v>0</v>
      </c>
      <c r="J77" s="12" t="s">
        <v>50</v>
      </c>
      <c r="K77" s="12">
        <v>100.8</v>
      </c>
    </row>
    <row r="78" spans="1:11" x14ac:dyDescent="0.3">
      <c r="A78" s="8" t="s">
        <v>13</v>
      </c>
      <c r="B78" t="s">
        <v>57</v>
      </c>
      <c r="C78" s="22" t="str">
        <f>HYPERLINK("https://www.avito.ru/sankt-peterburg_peterhof/uslugi/skupka_i_vyvoz_metalloloma_v_spb_i_lo_s_demontazhem_7805340097","7805340097")</f>
        <v>7805340097</v>
      </c>
      <c r="D78" s="25" t="s">
        <v>131</v>
      </c>
      <c r="E78" s="8">
        <v>0</v>
      </c>
      <c r="F78" s="8">
        <v>0</v>
      </c>
      <c r="G78" s="11" t="s">
        <v>50</v>
      </c>
      <c r="H78" s="8">
        <v>0</v>
      </c>
      <c r="I78" s="8">
        <v>0</v>
      </c>
      <c r="J78" s="12" t="s">
        <v>50</v>
      </c>
      <c r="K78" s="12">
        <v>100.8</v>
      </c>
    </row>
    <row r="79" spans="1:11" x14ac:dyDescent="0.3">
      <c r="A79" s="8" t="s">
        <v>13</v>
      </c>
      <c r="B79" t="s">
        <v>91</v>
      </c>
      <c r="C79" s="22" t="str">
        <f>HYPERLINK("https://www.avito.ru/kudrovo/uslugi/priem_i_vyvoz_metalloloma_7805352862","7805352862")</f>
        <v>7805352862</v>
      </c>
      <c r="D79" s="25" t="s">
        <v>131</v>
      </c>
      <c r="E79" s="8">
        <v>1</v>
      </c>
      <c r="F79" s="8">
        <v>0</v>
      </c>
      <c r="G79" s="11">
        <v>0</v>
      </c>
      <c r="H79" s="8">
        <v>0</v>
      </c>
      <c r="I79" s="8">
        <v>0</v>
      </c>
      <c r="J79" s="12" t="s">
        <v>50</v>
      </c>
      <c r="K79" s="12">
        <v>21.6</v>
      </c>
    </row>
    <row r="80" spans="1:11" x14ac:dyDescent="0.3">
      <c r="A80" s="8" t="s">
        <v>13</v>
      </c>
      <c r="B80" t="s">
        <v>57</v>
      </c>
      <c r="C80" s="22" t="str">
        <f>HYPERLINK("https://www.avito.ru/sankt-peterburg_peterhof/uslugi/priem_bu_akkumulyatorov_7805365415","7805365415")</f>
        <v>7805365415</v>
      </c>
      <c r="D80" s="25" t="s">
        <v>134</v>
      </c>
      <c r="E80" s="8">
        <v>2</v>
      </c>
      <c r="F80" s="8">
        <v>0</v>
      </c>
      <c r="G80" s="11">
        <v>0</v>
      </c>
      <c r="H80" s="8">
        <v>0</v>
      </c>
      <c r="I80" s="8">
        <v>0</v>
      </c>
      <c r="J80" s="12" t="s">
        <v>50</v>
      </c>
      <c r="K80" s="12">
        <v>100.8</v>
      </c>
    </row>
    <row r="81" spans="1:11" x14ac:dyDescent="0.3">
      <c r="A81" s="8" t="s">
        <v>13</v>
      </c>
      <c r="B81" t="s">
        <v>73</v>
      </c>
      <c r="C81" s="22" t="str">
        <f>HYPERLINK("https://www.avito.ru/sankt-peterburg_zelenogorsk/uslugi/skupka_metalla._redkozemelnye_metally_7805406877","7805406877")</f>
        <v>7805406877</v>
      </c>
      <c r="D81" s="25" t="s">
        <v>136</v>
      </c>
      <c r="E81" s="8">
        <v>2</v>
      </c>
      <c r="F81" s="8">
        <v>0</v>
      </c>
      <c r="G81" s="11">
        <v>0</v>
      </c>
      <c r="H81" s="8">
        <v>0</v>
      </c>
      <c r="I81" s="8">
        <v>0</v>
      </c>
      <c r="J81" s="12" t="s">
        <v>50</v>
      </c>
      <c r="K81" s="12">
        <v>100.8</v>
      </c>
    </row>
    <row r="82" spans="1:11" x14ac:dyDescent="0.3">
      <c r="A82" s="8" t="s">
        <v>13</v>
      </c>
      <c r="B82" t="s">
        <v>93</v>
      </c>
      <c r="C82" s="22" t="str">
        <f>HYPERLINK("https://www.avito.ru/bugry/uslugi/sdat_metallolom_spb_i_lo_7805459729","7805459729")</f>
        <v>7805459729</v>
      </c>
      <c r="D82" s="25" t="s">
        <v>131</v>
      </c>
      <c r="E82" s="8">
        <v>0</v>
      </c>
      <c r="F82" s="8">
        <v>0</v>
      </c>
      <c r="G82" s="11" t="s">
        <v>50</v>
      </c>
      <c r="H82" s="8">
        <v>0</v>
      </c>
      <c r="I82" s="8">
        <v>0</v>
      </c>
      <c r="J82" s="12" t="s">
        <v>50</v>
      </c>
      <c r="K82" s="12">
        <v>21.6</v>
      </c>
    </row>
    <row r="83" spans="1:11" x14ac:dyDescent="0.3">
      <c r="A83" s="8" t="s">
        <v>13</v>
      </c>
      <c r="B83" t="s">
        <v>95</v>
      </c>
      <c r="C83" s="22" t="str">
        <f>HYPERLINK("https://www.avito.ru/murino/uslugi/priem_i_vyvoz_metalloloma_samovyvoz_loma_7805472834","7805472834")</f>
        <v>7805472834</v>
      </c>
      <c r="D83" s="25" t="s">
        <v>131</v>
      </c>
      <c r="E83" s="8">
        <v>0</v>
      </c>
      <c r="F83" s="8">
        <v>0</v>
      </c>
      <c r="G83" s="11" t="s">
        <v>50</v>
      </c>
      <c r="H83" s="8">
        <v>0</v>
      </c>
      <c r="I83" s="8">
        <v>0</v>
      </c>
      <c r="J83" s="12" t="s">
        <v>50</v>
      </c>
      <c r="K83" s="12">
        <v>21.6</v>
      </c>
    </row>
    <row r="84" spans="1:11" x14ac:dyDescent="0.3">
      <c r="A84" s="8" t="s">
        <v>13</v>
      </c>
      <c r="B84" t="s">
        <v>28</v>
      </c>
      <c r="C84" s="22" t="str">
        <f>HYPERLINK("https://www.avito.ru/arhangelsk/uslugi/priem_i_vyvoz_metalloloma_samovyvoz_loma_7805494868","7805494868")</f>
        <v>7805494868</v>
      </c>
      <c r="D84" s="26" t="s">
        <v>131</v>
      </c>
      <c r="E84" s="8">
        <v>6</v>
      </c>
      <c r="F84" s="8">
        <v>0</v>
      </c>
      <c r="G84" s="11">
        <v>0</v>
      </c>
      <c r="H84" s="8">
        <v>0</v>
      </c>
      <c r="I84" s="8">
        <v>0</v>
      </c>
      <c r="J84" s="12" t="s">
        <v>50</v>
      </c>
      <c r="K84" s="12">
        <v>37.799999999999997</v>
      </c>
    </row>
    <row r="85" spans="1:11" x14ac:dyDescent="0.3">
      <c r="A85" s="8" t="s">
        <v>13</v>
      </c>
      <c r="B85" t="s">
        <v>45</v>
      </c>
      <c r="C85" s="22" t="str">
        <f>HYPERLINK("https://www.avito.ru/sankt-peterburg_kronstadt/uslugi/priem_bu_akkumulyatorov_akb_7805525534","7805525534")</f>
        <v>7805525534</v>
      </c>
      <c r="D85" s="25" t="s">
        <v>134</v>
      </c>
      <c r="E85" s="8">
        <v>4</v>
      </c>
      <c r="F85" s="8">
        <v>0</v>
      </c>
      <c r="G85" s="11">
        <v>0</v>
      </c>
      <c r="H85" s="8">
        <v>0</v>
      </c>
      <c r="I85" s="8">
        <v>0</v>
      </c>
      <c r="J85" s="12" t="s">
        <v>50</v>
      </c>
      <c r="K85" s="12">
        <v>100.8</v>
      </c>
    </row>
    <row r="86" spans="1:11" x14ac:dyDescent="0.3">
      <c r="A86" s="8" t="s">
        <v>13</v>
      </c>
      <c r="B86" t="s">
        <v>97</v>
      </c>
      <c r="C86" s="22" t="str">
        <f>HYPERLINK("https://www.avito.ru/leningradskaya_oblast_kirovsk/uslugi/priem_i_vyvoz_metalloloma_7805526287","7805526287")</f>
        <v>7805526287</v>
      </c>
      <c r="D86" s="25" t="s">
        <v>131</v>
      </c>
      <c r="E86" s="8">
        <v>0</v>
      </c>
      <c r="F86" s="8">
        <v>0</v>
      </c>
      <c r="G86" s="11" t="s">
        <v>50</v>
      </c>
      <c r="H86" s="8">
        <v>0</v>
      </c>
      <c r="I86" s="8">
        <v>0</v>
      </c>
      <c r="J86" s="12" t="s">
        <v>50</v>
      </c>
      <c r="K86" s="12">
        <v>21.6</v>
      </c>
    </row>
    <row r="87" spans="1:11" x14ac:dyDescent="0.3">
      <c r="A87" s="8" t="s">
        <v>13</v>
      </c>
      <c r="B87" t="s">
        <v>59</v>
      </c>
      <c r="C87" s="22" t="str">
        <f>HYPERLINK("https://www.avito.ru/gatchina/uslugi/priem_i_vyvoz_metalloloma_7805570137","7805570137")</f>
        <v>7805570137</v>
      </c>
      <c r="D87" s="25" t="s">
        <v>131</v>
      </c>
      <c r="E87" s="8">
        <v>0</v>
      </c>
      <c r="F87" s="8">
        <v>0</v>
      </c>
      <c r="G87" s="11" t="s">
        <v>50</v>
      </c>
      <c r="H87" s="8">
        <v>0</v>
      </c>
      <c r="I87" s="8">
        <v>0</v>
      </c>
      <c r="J87" s="12" t="s">
        <v>50</v>
      </c>
      <c r="K87" s="12">
        <v>21.6</v>
      </c>
    </row>
    <row r="88" spans="1:11" x14ac:dyDescent="0.3">
      <c r="A88" s="8" t="s">
        <v>13</v>
      </c>
      <c r="B88" t="s">
        <v>99</v>
      </c>
      <c r="C88" s="22" t="str">
        <f>HYPERLINK("https://www.avito.ru/novoe_devyatkino/uslugi/skupka_i_vyvoz_metalloloma_v_spb_i_lo_s_demontazhem_7805577658","7805577658")</f>
        <v>7805577658</v>
      </c>
      <c r="D88" s="25" t="s">
        <v>131</v>
      </c>
      <c r="E88" s="8">
        <v>0</v>
      </c>
      <c r="F88" s="8">
        <v>0</v>
      </c>
      <c r="G88" s="11" t="s">
        <v>50</v>
      </c>
      <c r="H88" s="8">
        <v>0</v>
      </c>
      <c r="I88" s="8">
        <v>0</v>
      </c>
      <c r="J88" s="12" t="s">
        <v>50</v>
      </c>
      <c r="K88" s="12">
        <v>21.6</v>
      </c>
    </row>
    <row r="89" spans="1:11" x14ac:dyDescent="0.3">
      <c r="A89" s="8" t="s">
        <v>13</v>
      </c>
      <c r="B89" t="s">
        <v>101</v>
      </c>
      <c r="C89" s="22" t="str">
        <f>HYPERLINK("https://www.avito.ru/koltushi/uslugi/priem_metalloloma_vyvoz_metalloloma_demontazh_7805587603","7805587603")</f>
        <v>7805587603</v>
      </c>
      <c r="D89" s="25" t="s">
        <v>131</v>
      </c>
      <c r="E89" s="8">
        <v>0</v>
      </c>
      <c r="F89" s="8">
        <v>0</v>
      </c>
      <c r="G89" s="11" t="s">
        <v>50</v>
      </c>
      <c r="H89" s="8">
        <v>0</v>
      </c>
      <c r="I89" s="8">
        <v>0</v>
      </c>
      <c r="J89" s="12" t="s">
        <v>50</v>
      </c>
      <c r="K89" s="12">
        <v>21.6</v>
      </c>
    </row>
    <row r="90" spans="1:11" x14ac:dyDescent="0.3">
      <c r="A90" s="8" t="s">
        <v>13</v>
      </c>
      <c r="B90" t="s">
        <v>73</v>
      </c>
      <c r="C90" s="22" t="str">
        <f>HYPERLINK("https://www.avito.ru/sankt-peterburg_zelenogorsk/uslugi/priem_i_vyvoz_metalloloma_samovyvoz_loma_7805635475","7805635475")</f>
        <v>7805635475</v>
      </c>
      <c r="D90" s="26" t="s">
        <v>131</v>
      </c>
      <c r="E90" s="8">
        <v>2</v>
      </c>
      <c r="F90" s="8">
        <v>0</v>
      </c>
      <c r="G90" s="11">
        <v>0</v>
      </c>
      <c r="H90" s="8">
        <v>0</v>
      </c>
      <c r="I90" s="8">
        <v>0</v>
      </c>
      <c r="J90" s="12" t="s">
        <v>50</v>
      </c>
      <c r="K90" s="12">
        <v>100.8</v>
      </c>
    </row>
    <row r="91" spans="1:11" x14ac:dyDescent="0.3">
      <c r="A91" s="8" t="s">
        <v>13</v>
      </c>
      <c r="B91" t="s">
        <v>103</v>
      </c>
      <c r="C91" s="22" t="str">
        <f>HYPERLINK("https://www.avito.ru/sertolovo/uslugi/sdat_metallolom_spb_i_lo_7805762058","7805762058")</f>
        <v>7805762058</v>
      </c>
      <c r="D91" s="25" t="s">
        <v>131</v>
      </c>
      <c r="E91" s="8">
        <v>1</v>
      </c>
      <c r="F91" s="8">
        <v>0</v>
      </c>
      <c r="G91" s="11">
        <v>0</v>
      </c>
      <c r="H91" s="8">
        <v>0</v>
      </c>
      <c r="I91" s="8">
        <v>0</v>
      </c>
      <c r="J91" s="12" t="s">
        <v>50</v>
      </c>
      <c r="K91" s="12">
        <v>21.6</v>
      </c>
    </row>
    <row r="92" spans="1:11" x14ac:dyDescent="0.3">
      <c r="A92" s="8" t="s">
        <v>13</v>
      </c>
      <c r="B92" t="s">
        <v>33</v>
      </c>
      <c r="C92" s="22" t="str">
        <f>HYPERLINK("https://www.avito.ru/sankt-peterburg/uslugi/priem_metalloloma._redkozemelnye_metally_7805774797","7805774797")</f>
        <v>7805774797</v>
      </c>
      <c r="D92" s="25" t="s">
        <v>136</v>
      </c>
      <c r="E92" s="8">
        <v>6</v>
      </c>
      <c r="F92" s="8">
        <v>0</v>
      </c>
      <c r="G92" s="11">
        <v>0</v>
      </c>
      <c r="H92" s="8">
        <v>0</v>
      </c>
      <c r="I92" s="8">
        <v>0</v>
      </c>
      <c r="J92" s="12" t="s">
        <v>50</v>
      </c>
      <c r="K92" s="12">
        <v>100.8</v>
      </c>
    </row>
    <row r="93" spans="1:11" x14ac:dyDescent="0.3">
      <c r="A93" s="8" t="s">
        <v>13</v>
      </c>
      <c r="B93" t="s">
        <v>105</v>
      </c>
      <c r="C93" s="22" t="str">
        <f>HYPERLINK("https://www.avito.ru/vysotsk/uslugi/priem_i_vyvoz_metalloloma_samovyvoz_loma_7805784940","7805784940")</f>
        <v>7805784940</v>
      </c>
      <c r="D93" s="26" t="s">
        <v>131</v>
      </c>
      <c r="E93" s="8">
        <v>1</v>
      </c>
      <c r="F93" s="8">
        <v>0</v>
      </c>
      <c r="G93" s="11">
        <v>0</v>
      </c>
      <c r="H93" s="8">
        <v>0</v>
      </c>
      <c r="I93" s="8">
        <v>0</v>
      </c>
      <c r="J93" s="12" t="s">
        <v>50</v>
      </c>
      <c r="K93" s="12">
        <v>21.6</v>
      </c>
    </row>
    <row r="94" spans="1:11" x14ac:dyDescent="0.3">
      <c r="A94" s="8" t="s">
        <v>13</v>
      </c>
      <c r="B94" t="s">
        <v>107</v>
      </c>
      <c r="C94" s="22" t="str">
        <f>HYPERLINK("https://www.avito.ru/leningradskaya_oblast_nikolskoe/uslugi/priem_i_vyvoz_metalloloma_7805884690","7805884690")</f>
        <v>7805884690</v>
      </c>
      <c r="D94" s="25" t="s">
        <v>131</v>
      </c>
      <c r="E94" s="8">
        <v>0</v>
      </c>
      <c r="F94" s="8">
        <v>0</v>
      </c>
      <c r="G94" s="11" t="s">
        <v>50</v>
      </c>
      <c r="H94" s="8">
        <v>0</v>
      </c>
      <c r="I94" s="8">
        <v>0</v>
      </c>
      <c r="J94" s="12" t="s">
        <v>50</v>
      </c>
      <c r="K94" s="12">
        <v>21.6</v>
      </c>
    </row>
    <row r="95" spans="1:11" x14ac:dyDescent="0.3">
      <c r="A95" s="8" t="s">
        <v>13</v>
      </c>
      <c r="B95" t="s">
        <v>109</v>
      </c>
      <c r="C95" s="22" t="str">
        <f>HYPERLINK("https://www.avito.ru/leningradskaya_oblast_primorsk/uslugi/priem_metalloloma_vyvoz_metalloloma_demontazh_7805887366","7805887366")</f>
        <v>7805887366</v>
      </c>
      <c r="D95" s="25" t="s">
        <v>131</v>
      </c>
      <c r="E95" s="8">
        <v>0</v>
      </c>
      <c r="F95" s="8">
        <v>0</v>
      </c>
      <c r="G95" s="11" t="s">
        <v>50</v>
      </c>
      <c r="H95" s="8">
        <v>0</v>
      </c>
      <c r="I95" s="8">
        <v>0</v>
      </c>
      <c r="J95" s="12" t="s">
        <v>50</v>
      </c>
      <c r="K95" s="12">
        <v>21.6</v>
      </c>
    </row>
    <row r="96" spans="1:11" x14ac:dyDescent="0.3">
      <c r="A96" s="8" t="s">
        <v>13</v>
      </c>
      <c r="B96" t="s">
        <v>80</v>
      </c>
      <c r="C96" s="22" t="str">
        <f>HYPERLINK("https://www.avito.ru/sankt-peterburg_sestroretsk/uslugi/skupka_radiodetaley_plat_priborov_7805915116","7805915116")</f>
        <v>7805915116</v>
      </c>
      <c r="D96" s="26" t="s">
        <v>135</v>
      </c>
      <c r="E96" s="8">
        <v>4</v>
      </c>
      <c r="F96" s="8">
        <v>0</v>
      </c>
      <c r="G96" s="11">
        <v>0</v>
      </c>
      <c r="H96" s="8">
        <v>0</v>
      </c>
      <c r="I96" s="8">
        <v>0</v>
      </c>
      <c r="J96" s="12" t="s">
        <v>50</v>
      </c>
      <c r="K96" s="12">
        <v>100.8</v>
      </c>
    </row>
    <row r="97" spans="1:11" x14ac:dyDescent="0.3">
      <c r="A97" s="8" t="s">
        <v>13</v>
      </c>
      <c r="B97" t="s">
        <v>110</v>
      </c>
      <c r="C97" s="22" t="str">
        <f>HYPERLINK("https://www.avito.ru/podporozhe/uslugi/priem_i_vyvoz_metalloloma_7805924301","7805924301")</f>
        <v>7805924301</v>
      </c>
      <c r="D97" s="25" t="s">
        <v>131</v>
      </c>
      <c r="E97" s="8">
        <v>2</v>
      </c>
      <c r="F97" s="8">
        <v>0</v>
      </c>
      <c r="G97" s="11">
        <v>0</v>
      </c>
      <c r="H97" s="8">
        <v>0</v>
      </c>
      <c r="I97" s="8">
        <v>0</v>
      </c>
      <c r="J97" s="12" t="s">
        <v>50</v>
      </c>
      <c r="K97" s="12">
        <v>21.6</v>
      </c>
    </row>
    <row r="98" spans="1:11" x14ac:dyDescent="0.3">
      <c r="A98" s="8" t="s">
        <v>13</v>
      </c>
      <c r="B98" t="s">
        <v>80</v>
      </c>
      <c r="C98" s="22" t="str">
        <f>HYPERLINK("https://www.avito.ru/sankt-peterburg_sestroretsk/uslugi/skupka_i_vyvoz_metalloloma_v_spb_i_lo_s_demontazhem_7805929674","7805929674")</f>
        <v>7805929674</v>
      </c>
      <c r="D98" s="25" t="s">
        <v>131</v>
      </c>
      <c r="E98" s="8">
        <v>1</v>
      </c>
      <c r="F98" s="8">
        <v>0</v>
      </c>
      <c r="G98" s="11">
        <v>0</v>
      </c>
      <c r="H98" s="8">
        <v>0</v>
      </c>
      <c r="I98" s="8">
        <v>0</v>
      </c>
      <c r="J98" s="12" t="s">
        <v>50</v>
      </c>
      <c r="K98" s="12">
        <v>100.8</v>
      </c>
    </row>
    <row r="99" spans="1:11" x14ac:dyDescent="0.3">
      <c r="A99" s="8" t="s">
        <v>13</v>
      </c>
      <c r="B99" t="s">
        <v>111</v>
      </c>
      <c r="C99" s="22" t="str">
        <f>HYPERLINK("https://www.avito.ru/sankt-peterburg/uslugi/priem_struzhki_olovasdat_olovosdat_rzm_7836944674","7836944674")</f>
        <v>7836944674</v>
      </c>
      <c r="D99" s="26" t="s">
        <v>136</v>
      </c>
      <c r="E99" s="8">
        <v>1</v>
      </c>
      <c r="F99" s="8">
        <v>0</v>
      </c>
      <c r="G99" s="11">
        <v>0</v>
      </c>
      <c r="H99" s="8">
        <v>0</v>
      </c>
      <c r="I99" s="8">
        <v>0</v>
      </c>
      <c r="J99" s="12" t="s">
        <v>50</v>
      </c>
      <c r="K99" s="12">
        <v>100.8</v>
      </c>
    </row>
    <row r="100" spans="1:11" x14ac:dyDescent="0.3">
      <c r="A100" s="8" t="s">
        <v>13</v>
      </c>
      <c r="B100" t="s">
        <v>111</v>
      </c>
      <c r="C100" s="22" t="str">
        <f>HYPERLINK("https://www.avito.ru/sankt-peterburg/uslugi/priem_samoplava_olovasdat_olovosdat_rzm_7837002497","7837002497")</f>
        <v>7837002497</v>
      </c>
      <c r="D100" s="26" t="s">
        <v>136</v>
      </c>
      <c r="E100" s="8">
        <v>0</v>
      </c>
      <c r="F100" s="8">
        <v>0</v>
      </c>
      <c r="G100" s="11" t="s">
        <v>50</v>
      </c>
      <c r="H100" s="8">
        <v>0</v>
      </c>
      <c r="I100" s="8">
        <v>0</v>
      </c>
      <c r="J100" s="12" t="s">
        <v>50</v>
      </c>
      <c r="K100" s="12">
        <v>100.8</v>
      </c>
    </row>
    <row r="101" spans="1:11" x14ac:dyDescent="0.3">
      <c r="A101" s="8" t="s">
        <v>13</v>
      </c>
      <c r="B101" t="s">
        <v>23</v>
      </c>
      <c r="C101" s="22" t="str">
        <f>HYPERLINK("https://www.avito.ru/sankt-peterburg/uslugi/sdat_surmulom_surmypriem_loma_7837033412","7837033412")</f>
        <v>7837033412</v>
      </c>
      <c r="D101" s="26" t="s">
        <v>136</v>
      </c>
      <c r="E101" s="8">
        <v>4</v>
      </c>
      <c r="F101" s="8">
        <v>0</v>
      </c>
      <c r="G101" s="11">
        <v>0</v>
      </c>
      <c r="H101" s="8">
        <v>0</v>
      </c>
      <c r="I101" s="8">
        <v>0</v>
      </c>
      <c r="J101" s="12" t="s">
        <v>50</v>
      </c>
      <c r="K101" s="12">
        <v>100.8</v>
      </c>
    </row>
    <row r="102" spans="1:11" x14ac:dyDescent="0.3">
      <c r="A102" s="8" t="s">
        <v>13</v>
      </c>
      <c r="B102" t="s">
        <v>11</v>
      </c>
      <c r="C102" s="22" t="str">
        <f>HYPERLINK("https://www.avito.ru/sankt-peterburg/uslugi/sdat_babbitbabbit_b16sdat_lom_7837033801","7837033801")</f>
        <v>7837033801</v>
      </c>
      <c r="D102" s="26" t="s">
        <v>136</v>
      </c>
      <c r="E102" s="8">
        <v>3</v>
      </c>
      <c r="F102" s="8">
        <v>0</v>
      </c>
      <c r="G102" s="11">
        <v>0</v>
      </c>
      <c r="H102" s="8">
        <v>0</v>
      </c>
      <c r="I102" s="8">
        <v>0</v>
      </c>
      <c r="J102" s="12" t="s">
        <v>50</v>
      </c>
      <c r="K102" s="12">
        <v>100.8</v>
      </c>
    </row>
    <row r="103" spans="1:11" x14ac:dyDescent="0.3">
      <c r="A103" s="8" t="s">
        <v>13</v>
      </c>
      <c r="B103" t="s">
        <v>112</v>
      </c>
      <c r="C103" s="22" t="str">
        <f>HYPERLINK("https://www.avito.ru/sankt-peterburg/uslugi/priem_metalloloma_vyvoz_metalloloma_demontazh_7837077941","7837077941")</f>
        <v>7837077941</v>
      </c>
      <c r="D103" s="26" t="s">
        <v>131</v>
      </c>
      <c r="E103" s="8">
        <v>10</v>
      </c>
      <c r="F103" s="8">
        <v>0</v>
      </c>
      <c r="G103" s="11">
        <v>0</v>
      </c>
      <c r="H103" s="8">
        <v>0</v>
      </c>
      <c r="I103" s="8">
        <v>0</v>
      </c>
      <c r="J103" s="12" t="s">
        <v>50</v>
      </c>
      <c r="K103" s="12">
        <v>4291.8</v>
      </c>
    </row>
    <row r="104" spans="1:11" x14ac:dyDescent="0.3">
      <c r="A104" s="8" t="s">
        <v>13</v>
      </c>
      <c r="B104" t="s">
        <v>47</v>
      </c>
      <c r="C104" s="22" t="str">
        <f>HYPERLINK("https://www.avito.ru/cherepovets/uslugi/priem_alyuminiya.priem_metalloloma.vyvoz_7837119666","7837119666")</f>
        <v>7837119666</v>
      </c>
      <c r="D104" s="26" t="s">
        <v>139</v>
      </c>
      <c r="E104" s="8">
        <v>2</v>
      </c>
      <c r="F104" s="8">
        <v>0</v>
      </c>
      <c r="G104" s="11">
        <v>0</v>
      </c>
      <c r="H104" s="8">
        <v>0</v>
      </c>
      <c r="I104" s="8">
        <v>0</v>
      </c>
      <c r="J104" s="12" t="s">
        <v>50</v>
      </c>
      <c r="K104" s="12">
        <v>42</v>
      </c>
    </row>
    <row r="105" spans="1:11" x14ac:dyDescent="0.3">
      <c r="A105" s="8" t="s">
        <v>13</v>
      </c>
      <c r="B105" t="s">
        <v>47</v>
      </c>
      <c r="C105" s="22" t="str">
        <f>HYPERLINK("https://www.avito.ru/cherepovets/uslugi/vyvoz_metalloloma_nerzhaveyka_bu_7837128017","7837128017")</f>
        <v>7837128017</v>
      </c>
      <c r="D105" s="25" t="s">
        <v>138</v>
      </c>
      <c r="E105" s="8">
        <v>2</v>
      </c>
      <c r="F105" s="8">
        <v>0</v>
      </c>
      <c r="G105" s="11">
        <v>0</v>
      </c>
      <c r="H105" s="8">
        <v>0</v>
      </c>
      <c r="I105" s="8">
        <v>0</v>
      </c>
      <c r="J105" s="12" t="s">
        <v>50</v>
      </c>
      <c r="K105" s="12">
        <v>42</v>
      </c>
    </row>
    <row r="106" spans="1:11" x14ac:dyDescent="0.3">
      <c r="A106" s="8" t="s">
        <v>13</v>
      </c>
      <c r="B106" t="s">
        <v>48</v>
      </c>
      <c r="C106" s="22" t="str">
        <f>HYPERLINK("https://www.avito.ru/sankt-peterburg/uslugi/priem_olova_01pchsdat_olovosdat_rzm_7837140602","7837140602")</f>
        <v>7837140602</v>
      </c>
      <c r="D106" s="26" t="s">
        <v>136</v>
      </c>
      <c r="E106" s="8">
        <v>0</v>
      </c>
      <c r="F106" s="8">
        <v>0</v>
      </c>
      <c r="G106" s="11" t="s">
        <v>50</v>
      </c>
      <c r="H106" s="8">
        <v>0</v>
      </c>
      <c r="I106" s="8">
        <v>0</v>
      </c>
      <c r="J106" s="12" t="s">
        <v>50</v>
      </c>
      <c r="K106" s="12">
        <v>100.8</v>
      </c>
    </row>
    <row r="107" spans="1:11" x14ac:dyDescent="0.3">
      <c r="A107" s="8" t="s">
        <v>13</v>
      </c>
      <c r="B107" t="s">
        <v>47</v>
      </c>
      <c r="C107" s="22" t="str">
        <f>HYPERLINK("https://www.avito.ru/cherepovets/uslugi/vyvoz_metalloloma_skupka_medi_sdat_med_7837145209","7837145209")</f>
        <v>7837145209</v>
      </c>
      <c r="D107" s="25" t="s">
        <v>140</v>
      </c>
      <c r="E107" s="8">
        <v>11</v>
      </c>
      <c r="F107" s="8">
        <v>0</v>
      </c>
      <c r="G107" s="11">
        <v>0</v>
      </c>
      <c r="H107" s="8">
        <v>0</v>
      </c>
      <c r="I107" s="8">
        <v>0</v>
      </c>
      <c r="J107" s="12" t="s">
        <v>50</v>
      </c>
      <c r="K107" s="12">
        <v>42</v>
      </c>
    </row>
    <row r="108" spans="1:11" x14ac:dyDescent="0.3">
      <c r="A108" s="8" t="s">
        <v>13</v>
      </c>
      <c r="B108" t="s">
        <v>31</v>
      </c>
      <c r="C108" s="22" t="str">
        <f>HYPERLINK("https://www.avito.ru/velikiy_novgorod/uslugi/priem_alyuminiya.priem_metalloloma.vyvoz_7837165853","7837165853")</f>
        <v>7837165853</v>
      </c>
      <c r="D108" s="25" t="s">
        <v>139</v>
      </c>
      <c r="E108" s="8">
        <v>3</v>
      </c>
      <c r="F108" s="8">
        <v>0</v>
      </c>
      <c r="G108" s="11">
        <v>0</v>
      </c>
      <c r="H108" s="8">
        <v>0</v>
      </c>
      <c r="I108" s="8">
        <v>0</v>
      </c>
      <c r="J108" s="12" t="s">
        <v>50</v>
      </c>
      <c r="K108" s="12">
        <v>63</v>
      </c>
    </row>
    <row r="109" spans="1:11" x14ac:dyDescent="0.3">
      <c r="A109" s="8" t="s">
        <v>13</v>
      </c>
      <c r="B109" t="s">
        <v>28</v>
      </c>
      <c r="C109" s="22" t="str">
        <f>HYPERLINK("https://www.avito.ru/arhangelsk/uslugi/priem_metalloloma_vyvoz_metalloloma_demontazh_7837181998","7837181998")</f>
        <v>7837181998</v>
      </c>
      <c r="D109" s="25" t="s">
        <v>131</v>
      </c>
      <c r="E109" s="8">
        <v>13</v>
      </c>
      <c r="F109" s="8">
        <v>0</v>
      </c>
      <c r="G109" s="11">
        <v>0</v>
      </c>
      <c r="H109" s="8">
        <v>0</v>
      </c>
      <c r="I109" s="8">
        <v>0</v>
      </c>
      <c r="J109" s="12" t="s">
        <v>50</v>
      </c>
      <c r="K109" s="12">
        <v>37.799999999999997</v>
      </c>
    </row>
    <row r="110" spans="1:11" x14ac:dyDescent="0.3">
      <c r="A110" s="8" t="s">
        <v>13</v>
      </c>
      <c r="B110" t="s">
        <v>23</v>
      </c>
      <c r="C110" s="22" t="str">
        <f>HYPERLINK("https://www.avito.ru/sankt-peterburg/uslugi/sdat_lom_tsinkapriem_tsinkapriem_loma_7837212042","7837212042")</f>
        <v>7837212042</v>
      </c>
      <c r="D110" s="25" t="s">
        <v>136</v>
      </c>
      <c r="E110" s="8">
        <v>4</v>
      </c>
      <c r="F110" s="8">
        <v>0</v>
      </c>
      <c r="G110" s="11">
        <v>0</v>
      </c>
      <c r="H110" s="8">
        <v>0</v>
      </c>
      <c r="I110" s="8">
        <v>0</v>
      </c>
      <c r="J110" s="12" t="s">
        <v>50</v>
      </c>
      <c r="K110" s="12">
        <v>100.8</v>
      </c>
    </row>
    <row r="111" spans="1:11" x14ac:dyDescent="0.3">
      <c r="A111" s="8" t="s">
        <v>13</v>
      </c>
      <c r="B111" t="s">
        <v>23</v>
      </c>
      <c r="C111" s="22" t="str">
        <f>HYPERLINK("https://www.avito.ru/sankt-peterburg/uslugi/pokupaem_ferosplavypriem_loma_7837227242","7837227242")</f>
        <v>7837227242</v>
      </c>
      <c r="D111" s="25" t="s">
        <v>136</v>
      </c>
      <c r="E111" s="8">
        <v>6</v>
      </c>
      <c r="F111" s="8">
        <v>0</v>
      </c>
      <c r="G111" s="11">
        <v>0</v>
      </c>
      <c r="H111" s="8">
        <v>0</v>
      </c>
      <c r="I111" s="8">
        <v>0</v>
      </c>
      <c r="J111" s="12" t="s">
        <v>50</v>
      </c>
      <c r="K111" s="12">
        <v>100.8</v>
      </c>
    </row>
    <row r="112" spans="1:11" x14ac:dyDescent="0.3">
      <c r="A112" s="8" t="s">
        <v>13</v>
      </c>
      <c r="B112" t="s">
        <v>23</v>
      </c>
      <c r="C112" s="22" t="str">
        <f>HYPERLINK("https://www.avito.ru/sankt-peterburg/uslugi/sdat_babbitbabbit_b83sdat_lom_7837441579","7837441579")</f>
        <v>7837441579</v>
      </c>
      <c r="D112" s="25" t="s">
        <v>136</v>
      </c>
      <c r="E112" s="8">
        <v>0</v>
      </c>
      <c r="F112" s="8">
        <v>0</v>
      </c>
      <c r="G112" s="11" t="s">
        <v>50</v>
      </c>
      <c r="H112" s="8">
        <v>0</v>
      </c>
      <c r="I112" s="8">
        <v>0</v>
      </c>
      <c r="J112" s="12" t="s">
        <v>50</v>
      </c>
      <c r="K112" s="12">
        <v>100.8</v>
      </c>
    </row>
    <row r="113" spans="1:11" x14ac:dyDescent="0.3">
      <c r="A113" s="8" t="s">
        <v>13</v>
      </c>
      <c r="B113" t="s">
        <v>60</v>
      </c>
      <c r="C113" s="22" t="str">
        <f>HYPERLINK("https://www.avito.ru/sankt-peterburg/uslugi/priem_niobiyaskupka_niobiyaskupka_loma_7837529524","7837529524")</f>
        <v>7837529524</v>
      </c>
      <c r="D113" s="26" t="s">
        <v>136</v>
      </c>
      <c r="E113" s="8">
        <v>4</v>
      </c>
      <c r="F113" s="8">
        <v>0</v>
      </c>
      <c r="G113" s="11">
        <v>0</v>
      </c>
      <c r="H113" s="8">
        <v>0</v>
      </c>
      <c r="I113" s="8">
        <v>0</v>
      </c>
      <c r="J113" s="12" t="s">
        <v>50</v>
      </c>
      <c r="K113" s="12">
        <v>100.8</v>
      </c>
    </row>
    <row r="114" spans="1:11" x14ac:dyDescent="0.3">
      <c r="A114" s="8" t="s">
        <v>13</v>
      </c>
      <c r="B114" t="s">
        <v>28</v>
      </c>
      <c r="C114" s="22" t="str">
        <f>HYPERLINK("https://www.avito.ru/arhangelsk/uslugi/priem_alyuminiya.priem_metalloloma.vyvoz_7837606056","7837606056")</f>
        <v>7837606056</v>
      </c>
      <c r="D114" s="26" t="s">
        <v>139</v>
      </c>
      <c r="E114" s="8">
        <v>3</v>
      </c>
      <c r="F114" s="8">
        <v>0</v>
      </c>
      <c r="G114" s="11">
        <v>0</v>
      </c>
      <c r="H114" s="8">
        <v>0</v>
      </c>
      <c r="I114" s="8">
        <v>0</v>
      </c>
      <c r="J114" s="12" t="s">
        <v>50</v>
      </c>
      <c r="K114" s="12">
        <v>37.799999999999997</v>
      </c>
    </row>
    <row r="115" spans="1:11" x14ac:dyDescent="0.3">
      <c r="A115" s="8" t="s">
        <v>13</v>
      </c>
      <c r="B115" t="s">
        <v>28</v>
      </c>
      <c r="C115" s="22" t="str">
        <f>HYPERLINK("https://www.avito.ru/arhangelsk/uslugi/vyvoz_metalloloma_nerzhaveyka_bu_7837610029","7837610029")</f>
        <v>7837610029</v>
      </c>
      <c r="D115" s="26" t="s">
        <v>138</v>
      </c>
      <c r="E115" s="8">
        <v>1</v>
      </c>
      <c r="F115" s="8">
        <v>0</v>
      </c>
      <c r="G115" s="11">
        <v>0</v>
      </c>
      <c r="H115" s="8">
        <v>0</v>
      </c>
      <c r="I115" s="8">
        <v>0</v>
      </c>
      <c r="J115" s="12" t="s">
        <v>50</v>
      </c>
      <c r="K115" s="12">
        <v>37.799999999999997</v>
      </c>
    </row>
    <row r="116" spans="1:11" x14ac:dyDescent="0.3">
      <c r="A116" s="8" t="s">
        <v>13</v>
      </c>
      <c r="B116" t="s">
        <v>23</v>
      </c>
      <c r="C116" s="22" t="str">
        <f>HYPERLINK("https://www.avito.ru/sankt-peterburg/uslugi/skupka_volframa_vndsdat_volfram_7837641405","7837641405")</f>
        <v>7837641405</v>
      </c>
      <c r="D116" s="26" t="s">
        <v>136</v>
      </c>
      <c r="E116" s="8">
        <v>2</v>
      </c>
      <c r="F116" s="8">
        <v>0</v>
      </c>
      <c r="G116" s="11">
        <v>0</v>
      </c>
      <c r="H116" s="8">
        <v>0</v>
      </c>
      <c r="I116" s="8">
        <v>0</v>
      </c>
      <c r="J116" s="12" t="s">
        <v>50</v>
      </c>
      <c r="K116" s="12">
        <v>100.8</v>
      </c>
    </row>
    <row r="117" spans="1:11" x14ac:dyDescent="0.3">
      <c r="A117" s="8" t="s">
        <v>13</v>
      </c>
      <c r="B117" t="s">
        <v>18</v>
      </c>
      <c r="C117" s="22" t="str">
        <f>HYPERLINK("https://www.avito.ru/petrozavodsk/uslugi/priem_alyuminiya.priem_metalloloma.vyvoz_7837653139","7837653139")</f>
        <v>7837653139</v>
      </c>
      <c r="D117" s="26" t="s">
        <v>139</v>
      </c>
      <c r="E117" s="8">
        <v>7</v>
      </c>
      <c r="F117" s="8">
        <v>0</v>
      </c>
      <c r="G117" s="11">
        <v>0</v>
      </c>
      <c r="H117" s="8">
        <v>0</v>
      </c>
      <c r="I117" s="8">
        <v>0</v>
      </c>
      <c r="J117" s="12" t="s">
        <v>50</v>
      </c>
      <c r="K117" s="12">
        <v>42</v>
      </c>
    </row>
    <row r="118" spans="1:11" x14ac:dyDescent="0.3">
      <c r="A118" s="8" t="s">
        <v>13</v>
      </c>
      <c r="B118" t="s">
        <v>31</v>
      </c>
      <c r="C118" s="22" t="str">
        <f>HYPERLINK("https://www.avito.ru/velikiy_novgorod/uslugi/vyvoz_metalloloma_skupka_medi_sdat_med_7837695679","7837695679")</f>
        <v>7837695679</v>
      </c>
      <c r="D118" s="26" t="s">
        <v>140</v>
      </c>
      <c r="E118" s="8">
        <v>6</v>
      </c>
      <c r="F118" s="8">
        <v>0</v>
      </c>
      <c r="G118" s="11">
        <v>0</v>
      </c>
      <c r="H118" s="8">
        <v>0</v>
      </c>
      <c r="I118" s="8">
        <v>0</v>
      </c>
      <c r="J118" s="12" t="s">
        <v>50</v>
      </c>
      <c r="K118" s="12">
        <v>63</v>
      </c>
    </row>
    <row r="119" spans="1:11" x14ac:dyDescent="0.3">
      <c r="A119" s="8" t="s">
        <v>13</v>
      </c>
      <c r="B119" t="s">
        <v>111</v>
      </c>
      <c r="C119" s="22" t="str">
        <f>HYPERLINK("https://www.avito.ru/sankt-peterburg/uslugi/sdat_pripoy_pos_18-90priem_loma_7837735817","7837735817")</f>
        <v>7837735817</v>
      </c>
      <c r="D119" s="26" t="s">
        <v>136</v>
      </c>
      <c r="E119" s="8">
        <v>0</v>
      </c>
      <c r="F119" s="8">
        <v>0</v>
      </c>
      <c r="G119" s="11" t="s">
        <v>50</v>
      </c>
      <c r="H119" s="8">
        <v>0</v>
      </c>
      <c r="I119" s="8">
        <v>0</v>
      </c>
      <c r="J119" s="12" t="s">
        <v>50</v>
      </c>
      <c r="K119" s="12">
        <v>100.8</v>
      </c>
    </row>
    <row r="120" spans="1:11" x14ac:dyDescent="0.3">
      <c r="A120" s="8" t="s">
        <v>13</v>
      </c>
      <c r="B120" t="s">
        <v>62</v>
      </c>
      <c r="C120" s="22" t="str">
        <f>HYPERLINK("https://www.avito.ru/sankt-peterburg/uslugi/sdat_volfram_chistyyskupka_loma_7837771156","7837771156")</f>
        <v>7837771156</v>
      </c>
      <c r="D120" s="26" t="s">
        <v>136</v>
      </c>
      <c r="E120" s="8">
        <v>1</v>
      </c>
      <c r="F120" s="8">
        <v>0</v>
      </c>
      <c r="G120" s="11">
        <v>0</v>
      </c>
      <c r="H120" s="8">
        <v>0</v>
      </c>
      <c r="I120" s="8">
        <v>0</v>
      </c>
      <c r="J120" s="12" t="s">
        <v>50</v>
      </c>
      <c r="K120" s="12">
        <v>100.8</v>
      </c>
    </row>
    <row r="121" spans="1:11" x14ac:dyDescent="0.3">
      <c r="A121" s="8" t="s">
        <v>13</v>
      </c>
      <c r="B121" t="s">
        <v>32</v>
      </c>
      <c r="C121" s="22" t="str">
        <f>HYPERLINK("https://www.avito.ru/sankt-peterburg/uslugi/vyvoz_i_priem_metalloloma_samovyvoz_loma_demontazh_7837810979","7837810979")</f>
        <v>7837810979</v>
      </c>
      <c r="D121" s="26" t="s">
        <v>131</v>
      </c>
      <c r="E121" s="8">
        <v>3</v>
      </c>
      <c r="F121" s="8">
        <v>0</v>
      </c>
      <c r="G121" s="11">
        <v>0</v>
      </c>
      <c r="H121" s="8">
        <v>0</v>
      </c>
      <c r="I121" s="8">
        <v>0</v>
      </c>
      <c r="J121" s="12" t="s">
        <v>50</v>
      </c>
      <c r="K121" s="12">
        <v>100.8</v>
      </c>
    </row>
    <row r="122" spans="1:11" x14ac:dyDescent="0.3">
      <c r="A122" s="8" t="s">
        <v>13</v>
      </c>
      <c r="B122" t="s">
        <v>62</v>
      </c>
      <c r="C122" s="22" t="str">
        <f>HYPERLINK("https://www.avito.ru/sankt-peterburg/uslugi/sdat_lom_tsirkoniyapriem_tsirkoniyapriem_loma_7837861563","7837861563")</f>
        <v>7837861563</v>
      </c>
      <c r="D122" s="26" t="s">
        <v>136</v>
      </c>
      <c r="E122" s="8">
        <v>0</v>
      </c>
      <c r="F122" s="8">
        <v>0</v>
      </c>
      <c r="G122" s="11" t="s">
        <v>50</v>
      </c>
      <c r="H122" s="8">
        <v>0</v>
      </c>
      <c r="I122" s="8">
        <v>0</v>
      </c>
      <c r="J122" s="12" t="s">
        <v>50</v>
      </c>
      <c r="K122" s="12">
        <v>100.8</v>
      </c>
    </row>
    <row r="123" spans="1:11" x14ac:dyDescent="0.3">
      <c r="A123" s="8" t="s">
        <v>13</v>
      </c>
      <c r="B123" t="s">
        <v>62</v>
      </c>
      <c r="C123" s="22" t="str">
        <f>HYPERLINK("https://www.avito.ru/sankt-peterburg/uslugi/sdat_struzhku_volframasdat_volfram_7837884228","7837884228")</f>
        <v>7837884228</v>
      </c>
      <c r="D123" s="26" t="s">
        <v>136</v>
      </c>
      <c r="E123" s="8">
        <v>4</v>
      </c>
      <c r="F123" s="8">
        <v>0</v>
      </c>
      <c r="G123" s="11">
        <v>0</v>
      </c>
      <c r="H123" s="8">
        <v>0</v>
      </c>
      <c r="I123" s="8">
        <v>0</v>
      </c>
      <c r="J123" s="12" t="s">
        <v>50</v>
      </c>
      <c r="K123" s="12">
        <v>100.8</v>
      </c>
    </row>
    <row r="124" spans="1:11" x14ac:dyDescent="0.3">
      <c r="A124" s="8" t="s">
        <v>13</v>
      </c>
      <c r="B124" t="s">
        <v>23</v>
      </c>
      <c r="C124" s="22" t="str">
        <f>HYPERLINK("https://www.avito.ru/sankt-peterburg/uslugi/skupka_loma_volframasdat_volfram_7837889509","7837889509")</f>
        <v>7837889509</v>
      </c>
      <c r="D124" s="26" t="s">
        <v>136</v>
      </c>
      <c r="E124" s="8">
        <v>2</v>
      </c>
      <c r="F124" s="8">
        <v>0</v>
      </c>
      <c r="G124" s="11">
        <v>0</v>
      </c>
      <c r="H124" s="8">
        <v>0</v>
      </c>
      <c r="I124" s="8">
        <v>0</v>
      </c>
      <c r="J124" s="12" t="s">
        <v>50</v>
      </c>
      <c r="K124" s="12">
        <v>100.8</v>
      </c>
    </row>
    <row r="125" spans="1:11" x14ac:dyDescent="0.3">
      <c r="A125" s="8" t="s">
        <v>13</v>
      </c>
      <c r="B125" t="s">
        <v>23</v>
      </c>
      <c r="C125" s="22" t="str">
        <f>HYPERLINK("https://www.avito.ru/sankt-peterburg/uslugi/sdat_lom_titanapriem_titanapriem_loma_7837891840","7837891840")</f>
        <v>7837891840</v>
      </c>
      <c r="D125" s="26" t="s">
        <v>136</v>
      </c>
      <c r="E125" s="8">
        <v>1</v>
      </c>
      <c r="F125" s="8">
        <v>0</v>
      </c>
      <c r="G125" s="11">
        <v>0</v>
      </c>
      <c r="H125" s="8">
        <v>0</v>
      </c>
      <c r="I125" s="8">
        <v>0</v>
      </c>
      <c r="J125" s="12" t="s">
        <v>50</v>
      </c>
      <c r="K125" s="12">
        <v>100.8</v>
      </c>
    </row>
    <row r="126" spans="1:11" x14ac:dyDescent="0.3">
      <c r="A126" s="8" t="s">
        <v>13</v>
      </c>
      <c r="B126" t="s">
        <v>23</v>
      </c>
      <c r="C126" s="22" t="str">
        <f>HYPERLINK("https://www.avito.ru/sankt-peterburg/uslugi/sdat_reztsy_vktk_s_naplavkamipriem_loma_7837901257","7837901257")</f>
        <v>7837901257</v>
      </c>
      <c r="D126" s="26" t="s">
        <v>136</v>
      </c>
      <c r="E126" s="8">
        <v>6</v>
      </c>
      <c r="F126" s="8">
        <v>0</v>
      </c>
      <c r="G126" s="11">
        <v>0</v>
      </c>
      <c r="H126" s="8">
        <v>0</v>
      </c>
      <c r="I126" s="8">
        <v>0</v>
      </c>
      <c r="J126" s="12" t="s">
        <v>50</v>
      </c>
      <c r="K126" s="12">
        <v>100.8</v>
      </c>
    </row>
    <row r="127" spans="1:11" x14ac:dyDescent="0.3">
      <c r="A127" s="8" t="s">
        <v>13</v>
      </c>
      <c r="B127" t="s">
        <v>38</v>
      </c>
      <c r="C127" s="22" t="str">
        <f>HYPERLINK("https://www.avito.ru/pskov/uslugi/priem_i_vyvoz_metalloloma_spb_i_lo_7868930643","7868930643")</f>
        <v>7868930643</v>
      </c>
      <c r="D127" s="26" t="s">
        <v>131</v>
      </c>
      <c r="E127" s="8">
        <v>1</v>
      </c>
      <c r="F127" s="8">
        <v>0</v>
      </c>
      <c r="G127" s="11">
        <v>0</v>
      </c>
      <c r="H127" s="8">
        <v>0</v>
      </c>
      <c r="I127" s="8">
        <v>0</v>
      </c>
      <c r="J127" s="12" t="s">
        <v>50</v>
      </c>
      <c r="K127" s="12">
        <v>31.2</v>
      </c>
    </row>
    <row r="128" spans="1:11" x14ac:dyDescent="0.3">
      <c r="A128" s="8" t="s">
        <v>13</v>
      </c>
      <c r="B128" t="s">
        <v>32</v>
      </c>
      <c r="C128" s="22" t="str">
        <f>HYPERLINK("https://www.avito.ru/sankt-peterburg/uslugi/sdat_chermet_priem_vyvoz_metalloloma_7868969238","7868969238")</f>
        <v>7868969238</v>
      </c>
      <c r="D128" s="25" t="s">
        <v>132</v>
      </c>
      <c r="E128" s="8">
        <v>21</v>
      </c>
      <c r="F128" s="8">
        <v>0</v>
      </c>
      <c r="G128" s="11">
        <v>0</v>
      </c>
      <c r="H128" s="8">
        <v>0</v>
      </c>
      <c r="I128" s="8">
        <v>0</v>
      </c>
      <c r="J128" s="12" t="s">
        <v>50</v>
      </c>
      <c r="K128" s="12">
        <v>4263</v>
      </c>
    </row>
    <row r="129" spans="1:11" x14ac:dyDescent="0.3">
      <c r="A129" s="8" t="s">
        <v>13</v>
      </c>
      <c r="B129" t="s">
        <v>41</v>
      </c>
      <c r="C129" s="22" t="str">
        <f>HYPERLINK("https://www.avito.ru/vologda/uslugi/priem_metalloloma_vyvoz_metalloloma_demontazh_7869024487","7869024487")</f>
        <v>7869024487</v>
      </c>
      <c r="D129" s="26" t="s">
        <v>131</v>
      </c>
      <c r="E129" s="8">
        <v>44</v>
      </c>
      <c r="F129" s="8">
        <v>0</v>
      </c>
      <c r="G129" s="11">
        <v>0</v>
      </c>
      <c r="H129" s="8">
        <v>0</v>
      </c>
      <c r="I129" s="8">
        <v>0</v>
      </c>
      <c r="J129" s="12" t="s">
        <v>50</v>
      </c>
      <c r="K129" s="12">
        <v>36</v>
      </c>
    </row>
    <row r="130" spans="1:11" x14ac:dyDescent="0.3">
      <c r="A130" s="8" t="s">
        <v>13</v>
      </c>
      <c r="B130" t="s">
        <v>41</v>
      </c>
      <c r="C130" s="22" t="str">
        <f>HYPERLINK("https://www.avito.ru/vologda/uslugi/priem_i_vyvoz_metalloloma_spb_i_lo_7869146890","7869146890")</f>
        <v>7869146890</v>
      </c>
      <c r="D130" s="26" t="s">
        <v>131</v>
      </c>
      <c r="E130" s="8">
        <v>2</v>
      </c>
      <c r="F130" s="8">
        <v>0</v>
      </c>
      <c r="G130" s="11">
        <v>0</v>
      </c>
      <c r="H130" s="8">
        <v>0</v>
      </c>
      <c r="I130" s="8">
        <v>0</v>
      </c>
      <c r="J130" s="12" t="s">
        <v>50</v>
      </c>
      <c r="K130" s="12">
        <v>36</v>
      </c>
    </row>
    <row r="131" spans="1:11" x14ac:dyDescent="0.3">
      <c r="A131" s="8" t="s">
        <v>13</v>
      </c>
      <c r="B131" t="s">
        <v>38</v>
      </c>
      <c r="C131" s="22" t="str">
        <f>HYPERLINK("https://www.avito.ru/pskov/uslugi/priem_metalloloma_vyvoz_metalloloma_demontazh_7869154448","7869154448")</f>
        <v>7869154448</v>
      </c>
      <c r="D131" s="26" t="s">
        <v>131</v>
      </c>
      <c r="E131" s="8">
        <v>7</v>
      </c>
      <c r="F131" s="8">
        <v>0</v>
      </c>
      <c r="G131" s="11">
        <v>0</v>
      </c>
      <c r="H131" s="8">
        <v>0</v>
      </c>
      <c r="I131" s="8">
        <v>0</v>
      </c>
      <c r="J131" s="12" t="s">
        <v>50</v>
      </c>
      <c r="K131" s="12">
        <v>31.2</v>
      </c>
    </row>
    <row r="132" spans="1:11" x14ac:dyDescent="0.3">
      <c r="A132" s="8" t="s">
        <v>13</v>
      </c>
      <c r="B132" t="s">
        <v>47</v>
      </c>
      <c r="C132" s="22" t="str">
        <f>HYPERLINK("https://www.avito.ru/cherepovets/uslugi/priem_tsvetnogo_metalloloma_7869225639","7869225639")</f>
        <v>7869225639</v>
      </c>
      <c r="D132" s="26" t="s">
        <v>133</v>
      </c>
      <c r="E132" s="8">
        <v>0</v>
      </c>
      <c r="F132" s="8">
        <v>0</v>
      </c>
      <c r="G132" s="11" t="s">
        <v>50</v>
      </c>
      <c r="H132" s="8">
        <v>0</v>
      </c>
      <c r="I132" s="8">
        <v>0</v>
      </c>
      <c r="J132" s="12" t="s">
        <v>50</v>
      </c>
      <c r="K132" s="12">
        <v>30</v>
      </c>
    </row>
    <row r="133" spans="1:11" x14ac:dyDescent="0.3">
      <c r="A133" s="8" t="s">
        <v>13</v>
      </c>
      <c r="B133" t="s">
        <v>113</v>
      </c>
      <c r="C133" s="22" t="str">
        <f>HYPERLINK("https://www.avito.ru/sankt-peterburg/uslugi/priem_provodov._skupka_kabelya_provodov_7869241067","7869241067")</f>
        <v>7869241067</v>
      </c>
      <c r="D133" s="25" t="s">
        <v>137</v>
      </c>
      <c r="E133" s="8">
        <v>0</v>
      </c>
      <c r="F133" s="8">
        <v>0</v>
      </c>
      <c r="G133" s="11" t="s">
        <v>50</v>
      </c>
      <c r="H133" s="8">
        <v>0</v>
      </c>
      <c r="I133" s="8">
        <v>0</v>
      </c>
      <c r="J133" s="12" t="s">
        <v>50</v>
      </c>
      <c r="K133" s="12">
        <v>100.8</v>
      </c>
    </row>
    <row r="134" spans="1:11" x14ac:dyDescent="0.3">
      <c r="A134" s="8" t="s">
        <v>13</v>
      </c>
      <c r="B134" t="s">
        <v>41</v>
      </c>
      <c r="C134" s="22" t="str">
        <f>HYPERLINK("https://www.avito.ru/vologda/uslugi/priem_i_vyvoz_metalloloma_7869259759","7869259759")</f>
        <v>7869259759</v>
      </c>
      <c r="D134" s="25" t="s">
        <v>131</v>
      </c>
      <c r="E134" s="8">
        <v>1</v>
      </c>
      <c r="F134" s="8">
        <v>0</v>
      </c>
      <c r="G134" s="11">
        <v>0</v>
      </c>
      <c r="H134" s="8">
        <v>0</v>
      </c>
      <c r="I134" s="8">
        <v>0</v>
      </c>
      <c r="J134" s="12" t="s">
        <v>50</v>
      </c>
      <c r="K134" s="12">
        <v>36</v>
      </c>
    </row>
    <row r="135" spans="1:11" x14ac:dyDescent="0.3">
      <c r="A135" s="8" t="s">
        <v>13</v>
      </c>
      <c r="B135" t="s">
        <v>64</v>
      </c>
      <c r="C135" s="22" t="str">
        <f>HYPERLINK("https://www.avito.ru/sankt-peterburg/uslugi/priem_provodov._skupka_7869339176","7869339176")</f>
        <v>7869339176</v>
      </c>
      <c r="D135" s="25" t="s">
        <v>137</v>
      </c>
      <c r="E135" s="8">
        <v>2</v>
      </c>
      <c r="F135" s="8">
        <v>0</v>
      </c>
      <c r="G135" s="11">
        <v>0</v>
      </c>
      <c r="H135" s="8">
        <v>0</v>
      </c>
      <c r="I135" s="8">
        <v>0</v>
      </c>
      <c r="J135" s="12" t="s">
        <v>50</v>
      </c>
      <c r="K135" s="12">
        <v>100.8</v>
      </c>
    </row>
    <row r="136" spans="1:11" x14ac:dyDescent="0.3">
      <c r="A136" s="8" t="s">
        <v>13</v>
      </c>
      <c r="B136" t="s">
        <v>114</v>
      </c>
      <c r="C136" s="22" t="str">
        <f>HYPERLINK("https://www.avito.ru/sankt-peterburg/uslugi/priem_kabelya_skupka_kabelya_provodov_7869349435","7869349435")</f>
        <v>7869349435</v>
      </c>
      <c r="D136" s="25" t="s">
        <v>137</v>
      </c>
      <c r="E136" s="8">
        <v>3</v>
      </c>
      <c r="F136" s="8">
        <v>0</v>
      </c>
      <c r="G136" s="11">
        <v>0</v>
      </c>
      <c r="H136" s="8">
        <v>0</v>
      </c>
      <c r="I136" s="8">
        <v>0</v>
      </c>
      <c r="J136" s="12" t="s">
        <v>50</v>
      </c>
      <c r="K136" s="12">
        <v>100.8</v>
      </c>
    </row>
    <row r="137" spans="1:11" x14ac:dyDescent="0.3">
      <c r="A137" s="8" t="s">
        <v>13</v>
      </c>
      <c r="B137" t="s">
        <v>115</v>
      </c>
      <c r="C137" s="22" t="str">
        <f>HYPERLINK("https://www.avito.ru/sankt-peterburg/uslugi/priem_tsvetnogo_metalloloma_7869389947","7869389947")</f>
        <v>7869389947</v>
      </c>
      <c r="D137" s="25" t="s">
        <v>133</v>
      </c>
      <c r="E137" s="8">
        <v>1</v>
      </c>
      <c r="F137" s="8">
        <v>0</v>
      </c>
      <c r="G137" s="11">
        <v>0</v>
      </c>
      <c r="H137" s="8">
        <v>0</v>
      </c>
      <c r="I137" s="8">
        <v>0</v>
      </c>
      <c r="J137" s="12" t="s">
        <v>50</v>
      </c>
      <c r="K137" s="12">
        <v>72</v>
      </c>
    </row>
    <row r="138" spans="1:11" x14ac:dyDescent="0.3">
      <c r="A138" s="8" t="s">
        <v>13</v>
      </c>
      <c r="B138" t="s">
        <v>38</v>
      </c>
      <c r="C138" s="22" t="str">
        <f>HYPERLINK("https://www.avito.ru/pskov/uslugi/priem_i_vyvoz_metalloloma_7869424429","7869424429")</f>
        <v>7869424429</v>
      </c>
      <c r="D138" s="25" t="s">
        <v>131</v>
      </c>
      <c r="E138" s="8">
        <v>2</v>
      </c>
      <c r="F138" s="8">
        <v>0</v>
      </c>
      <c r="G138" s="11">
        <v>0</v>
      </c>
      <c r="H138" s="8">
        <v>0</v>
      </c>
      <c r="I138" s="8">
        <v>0</v>
      </c>
      <c r="J138" s="12" t="s">
        <v>50</v>
      </c>
      <c r="K138" s="12">
        <v>31.2</v>
      </c>
    </row>
    <row r="139" spans="1:11" x14ac:dyDescent="0.3">
      <c r="A139" s="8" t="s">
        <v>13</v>
      </c>
      <c r="B139" t="s">
        <v>31</v>
      </c>
      <c r="C139" s="22" t="str">
        <f>HYPERLINK("https://www.avito.ru/velikiy_novgorod/uslugi/priem_tsvetnogo_metalloloma_7869442767","7869442767")</f>
        <v>7869442767</v>
      </c>
      <c r="D139" s="25" t="s">
        <v>133</v>
      </c>
      <c r="E139" s="8">
        <v>2</v>
      </c>
      <c r="F139" s="8">
        <v>0</v>
      </c>
      <c r="G139" s="11">
        <v>0</v>
      </c>
      <c r="H139" s="8">
        <v>0</v>
      </c>
      <c r="I139" s="8">
        <v>0</v>
      </c>
      <c r="J139" s="12" t="s">
        <v>50</v>
      </c>
      <c r="K139" s="12">
        <v>45</v>
      </c>
    </row>
    <row r="140" spans="1:11" x14ac:dyDescent="0.3">
      <c r="A140" s="8" t="s">
        <v>13</v>
      </c>
      <c r="B140" t="s">
        <v>28</v>
      </c>
      <c r="C140" s="22" t="str">
        <f>HYPERLINK("https://www.avito.ru/arhangelsk/uslugi/priem_plat_i_elektronnogo_loma._skupka_plat_7869446806","7869446806")</f>
        <v>7869446806</v>
      </c>
      <c r="D140" s="25" t="s">
        <v>135</v>
      </c>
      <c r="E140" s="8">
        <v>7</v>
      </c>
      <c r="F140" s="8">
        <v>0</v>
      </c>
      <c r="G140" s="11">
        <v>0</v>
      </c>
      <c r="H140" s="8">
        <v>0</v>
      </c>
      <c r="I140" s="8">
        <v>0</v>
      </c>
      <c r="J140" s="12" t="s">
        <v>50</v>
      </c>
      <c r="K140" s="12">
        <v>21.6</v>
      </c>
    </row>
    <row r="141" spans="1:11" x14ac:dyDescent="0.3">
      <c r="A141" s="8" t="s">
        <v>13</v>
      </c>
      <c r="B141" t="s">
        <v>38</v>
      </c>
      <c r="C141" s="22" t="str">
        <f>HYPERLINK("https://www.avito.ru/pskov/uslugi/priem_i_vyvoz_metalloloma_spb_i_lo_7869497841","7869497841")</f>
        <v>7869497841</v>
      </c>
      <c r="D141" s="25" t="s">
        <v>131</v>
      </c>
      <c r="E141" s="8">
        <v>2</v>
      </c>
      <c r="F141" s="8">
        <v>0</v>
      </c>
      <c r="G141" s="11">
        <v>0</v>
      </c>
      <c r="H141" s="8">
        <v>0</v>
      </c>
      <c r="I141" s="8">
        <v>0</v>
      </c>
      <c r="J141" s="12" t="s">
        <v>50</v>
      </c>
      <c r="K141" s="12">
        <v>31.2</v>
      </c>
    </row>
    <row r="142" spans="1:11" x14ac:dyDescent="0.3">
      <c r="A142" s="8" t="s">
        <v>13</v>
      </c>
      <c r="B142" t="s">
        <v>41</v>
      </c>
      <c r="C142" s="22" t="str">
        <f>HYPERLINK("https://www.avito.ru/vologda/uslugi/priem_tsvetnogo_metalloloma_7869556862","7869556862")</f>
        <v>7869556862</v>
      </c>
      <c r="D142" s="25" t="s">
        <v>133</v>
      </c>
      <c r="E142" s="8">
        <v>0</v>
      </c>
      <c r="F142" s="8">
        <v>0</v>
      </c>
      <c r="G142" s="11" t="s">
        <v>50</v>
      </c>
      <c r="H142" s="8">
        <v>0</v>
      </c>
      <c r="I142" s="8">
        <v>0</v>
      </c>
      <c r="J142" s="12" t="s">
        <v>50</v>
      </c>
      <c r="K142" s="12">
        <v>45</v>
      </c>
    </row>
    <row r="143" spans="1:11" x14ac:dyDescent="0.3">
      <c r="A143" s="8" t="s">
        <v>13</v>
      </c>
      <c r="B143" t="s">
        <v>28</v>
      </c>
      <c r="C143" s="22" t="str">
        <f>HYPERLINK("https://www.avito.ru/arhangelsk/uslugi/skupka_metalla._redkozemelnye_metally_7869633170","7869633170")</f>
        <v>7869633170</v>
      </c>
      <c r="D143" s="26" t="s">
        <v>136</v>
      </c>
      <c r="E143" s="8">
        <v>3</v>
      </c>
      <c r="F143" s="8">
        <v>0</v>
      </c>
      <c r="G143" s="11">
        <v>0</v>
      </c>
      <c r="H143" s="8">
        <v>0</v>
      </c>
      <c r="I143" s="8">
        <v>0</v>
      </c>
      <c r="J143" s="12" t="s">
        <v>50</v>
      </c>
      <c r="K143" s="12">
        <v>21.6</v>
      </c>
    </row>
    <row r="144" spans="1:11" x14ac:dyDescent="0.3">
      <c r="A144" s="8" t="s">
        <v>13</v>
      </c>
      <c r="B144" t="s">
        <v>47</v>
      </c>
      <c r="C144" s="22" t="str">
        <f>HYPERLINK("https://www.avito.ru/cherepovets/uslugi/skupka_metalla._redkozemelnye_metally_7869635987","7869635987")</f>
        <v>7869635987</v>
      </c>
      <c r="D144" s="26" t="s">
        <v>136</v>
      </c>
      <c r="E144" s="8">
        <v>2</v>
      </c>
      <c r="F144" s="8">
        <v>0</v>
      </c>
      <c r="G144" s="11">
        <v>0</v>
      </c>
      <c r="H144" s="8">
        <v>0</v>
      </c>
      <c r="I144" s="8">
        <v>0</v>
      </c>
      <c r="J144" s="12" t="s">
        <v>50</v>
      </c>
      <c r="K144" s="12">
        <v>24</v>
      </c>
    </row>
    <row r="145" spans="1:11" x14ac:dyDescent="0.3">
      <c r="A145" s="8" t="s">
        <v>13</v>
      </c>
      <c r="B145" t="s">
        <v>41</v>
      </c>
      <c r="C145" s="22" t="str">
        <f>HYPERLINK("https://www.avito.ru/vologda/uslugi/priem_i_vyvoz_metalloloma_spb_i_lo_7869662808","7869662808")</f>
        <v>7869662808</v>
      </c>
      <c r="D145" s="25" t="s">
        <v>131</v>
      </c>
      <c r="E145" s="8">
        <v>1</v>
      </c>
      <c r="F145" s="8">
        <v>0</v>
      </c>
      <c r="G145" s="11">
        <v>0</v>
      </c>
      <c r="H145" s="8">
        <v>0</v>
      </c>
      <c r="I145" s="8">
        <v>0</v>
      </c>
      <c r="J145" s="12" t="s">
        <v>50</v>
      </c>
      <c r="K145" s="12">
        <v>36</v>
      </c>
    </row>
    <row r="146" spans="1:11" x14ac:dyDescent="0.3">
      <c r="A146" s="8" t="s">
        <v>13</v>
      </c>
      <c r="B146" t="s">
        <v>38</v>
      </c>
      <c r="C146" s="22" t="str">
        <f>HYPERLINK("https://www.avito.ru/pskov/uslugi/priem_tsvetnogo_metalloloma_7869666146","7869666146")</f>
        <v>7869666146</v>
      </c>
      <c r="D146" s="25" t="s">
        <v>133</v>
      </c>
      <c r="E146" s="8">
        <v>15</v>
      </c>
      <c r="F146" s="8">
        <v>0</v>
      </c>
      <c r="G146" s="11">
        <v>0</v>
      </c>
      <c r="H146" s="8">
        <v>0</v>
      </c>
      <c r="I146" s="8">
        <v>0</v>
      </c>
      <c r="J146" s="12" t="s">
        <v>50</v>
      </c>
      <c r="K146" s="12">
        <v>39</v>
      </c>
    </row>
    <row r="147" spans="1:11" x14ac:dyDescent="0.3">
      <c r="A147" s="8" t="s">
        <v>13</v>
      </c>
      <c r="B147" t="s">
        <v>41</v>
      </c>
      <c r="C147" s="22" t="str">
        <f>HYPERLINK("https://www.avito.ru/vologda/uslugi/skupka_metalla._redkozemelnye_metally_7869690627","7869690627")</f>
        <v>7869690627</v>
      </c>
      <c r="D147" s="25" t="s">
        <v>136</v>
      </c>
      <c r="E147" s="8">
        <v>8</v>
      </c>
      <c r="F147" s="8">
        <v>0</v>
      </c>
      <c r="G147" s="11">
        <v>0</v>
      </c>
      <c r="H147" s="8">
        <v>0</v>
      </c>
      <c r="I147" s="8">
        <v>0</v>
      </c>
      <c r="J147" s="12" t="s">
        <v>50</v>
      </c>
      <c r="K147" s="12">
        <v>36</v>
      </c>
    </row>
    <row r="148" spans="1:11" x14ac:dyDescent="0.3">
      <c r="A148" s="8" t="s">
        <v>13</v>
      </c>
      <c r="B148" t="s">
        <v>31</v>
      </c>
      <c r="C148" s="22" t="str">
        <f>HYPERLINK("https://www.avito.ru/velikiy_novgorod/uslugi/priem_provodov._skupka_7869711196","7869711196")</f>
        <v>7869711196</v>
      </c>
      <c r="D148" s="25" t="s">
        <v>137</v>
      </c>
      <c r="E148" s="8">
        <v>9</v>
      </c>
      <c r="F148" s="8">
        <v>0</v>
      </c>
      <c r="G148" s="11">
        <v>0</v>
      </c>
      <c r="H148" s="8">
        <v>0</v>
      </c>
      <c r="I148" s="8">
        <v>0</v>
      </c>
      <c r="J148" s="12" t="s">
        <v>50</v>
      </c>
      <c r="K148" s="12">
        <v>36</v>
      </c>
    </row>
    <row r="149" spans="1:11" x14ac:dyDescent="0.3">
      <c r="A149" s="8" t="s">
        <v>13</v>
      </c>
      <c r="B149" t="s">
        <v>99</v>
      </c>
      <c r="C149" s="22" t="str">
        <f>HYPERLINK("https://www.avito.ru/novoe_devyatkino/uslugi/priem_provodov._skupka_7869745845","7869745845")</f>
        <v>7869745845</v>
      </c>
      <c r="D149" s="25" t="s">
        <v>137</v>
      </c>
      <c r="E149" s="8">
        <v>0</v>
      </c>
      <c r="F149" s="8">
        <v>0</v>
      </c>
      <c r="G149" s="11" t="s">
        <v>50</v>
      </c>
      <c r="H149" s="8">
        <v>0</v>
      </c>
      <c r="I149" s="8">
        <v>0</v>
      </c>
      <c r="J149" s="12" t="s">
        <v>50</v>
      </c>
      <c r="K149" s="12">
        <v>21.6</v>
      </c>
    </row>
    <row r="150" spans="1:11" x14ac:dyDescent="0.3">
      <c r="A150" s="8" t="s">
        <v>13</v>
      </c>
      <c r="B150" t="s">
        <v>38</v>
      </c>
      <c r="C150" s="22" t="str">
        <f>HYPERLINK("https://www.avito.ru/pskov/uslugi/skupka_metalla._redkozemelnye_metally_7869756106","7869756106")</f>
        <v>7869756106</v>
      </c>
      <c r="D150" s="25" t="s">
        <v>136</v>
      </c>
      <c r="E150" s="8">
        <v>9</v>
      </c>
      <c r="F150" s="8">
        <v>0</v>
      </c>
      <c r="G150" s="11">
        <v>0</v>
      </c>
      <c r="H150" s="8">
        <v>0</v>
      </c>
      <c r="I150" s="8">
        <v>0</v>
      </c>
      <c r="J150" s="12" t="s">
        <v>50</v>
      </c>
      <c r="K150" s="12">
        <v>31.2</v>
      </c>
    </row>
    <row r="151" spans="1:11" x14ac:dyDescent="0.3">
      <c r="A151" s="8" t="s">
        <v>13</v>
      </c>
      <c r="B151" t="s">
        <v>41</v>
      </c>
      <c r="C151" s="22" t="str">
        <f>HYPERLINK("https://www.avito.ru/vologda/uslugi/priem_tsvetnogo_metalloloma_7869795358","7869795358")</f>
        <v>7869795358</v>
      </c>
      <c r="D151" s="26" t="s">
        <v>133</v>
      </c>
      <c r="E151" s="8">
        <v>1</v>
      </c>
      <c r="F151" s="8">
        <v>0</v>
      </c>
      <c r="G151" s="11">
        <v>0</v>
      </c>
      <c r="H151" s="8">
        <v>0</v>
      </c>
      <c r="I151" s="8">
        <v>0</v>
      </c>
      <c r="J151" s="12" t="s">
        <v>50</v>
      </c>
      <c r="K151" s="12">
        <v>36</v>
      </c>
    </row>
    <row r="152" spans="1:11" x14ac:dyDescent="0.3">
      <c r="A152" s="8" t="s">
        <v>13</v>
      </c>
      <c r="B152" t="s">
        <v>41</v>
      </c>
      <c r="C152" s="22" t="str">
        <f>HYPERLINK("https://www.avito.ru/vologda/uslugi/priem_provodov._skupka_7869866104","7869866104")</f>
        <v>7869866104</v>
      </c>
      <c r="D152" s="25" t="s">
        <v>137</v>
      </c>
      <c r="E152" s="8">
        <v>2</v>
      </c>
      <c r="F152" s="8">
        <v>0</v>
      </c>
      <c r="G152" s="11">
        <v>0</v>
      </c>
      <c r="H152" s="8">
        <v>0</v>
      </c>
      <c r="I152" s="8">
        <v>0</v>
      </c>
      <c r="J152" s="12" t="s">
        <v>50</v>
      </c>
      <c r="K152" s="12">
        <v>36</v>
      </c>
    </row>
    <row r="153" spans="1:11" x14ac:dyDescent="0.3">
      <c r="A153" s="8" t="s">
        <v>13</v>
      </c>
      <c r="B153" t="s">
        <v>113</v>
      </c>
      <c r="C153" s="22" t="str">
        <f>HYPERLINK("https://www.avito.ru/sankt-peterburg/uslugi/priem_provodov_priem_kabelya_skupka_7869887071","7869887071")</f>
        <v>7869887071</v>
      </c>
      <c r="D153" s="25" t="s">
        <v>137</v>
      </c>
      <c r="E153" s="8">
        <v>3</v>
      </c>
      <c r="F153" s="8">
        <v>0</v>
      </c>
      <c r="G153" s="11">
        <v>0</v>
      </c>
      <c r="H153" s="8">
        <v>0</v>
      </c>
      <c r="I153" s="8">
        <v>0</v>
      </c>
      <c r="J153" s="12" t="s">
        <v>50</v>
      </c>
      <c r="K153" s="12">
        <v>100.8</v>
      </c>
    </row>
    <row r="154" spans="1:11" x14ac:dyDescent="0.3">
      <c r="A154" s="8" t="s">
        <v>13</v>
      </c>
      <c r="B154" t="s">
        <v>47</v>
      </c>
      <c r="C154" s="22" t="str">
        <f>HYPERLINK("https://www.avito.ru/cherepovets/uslugi/priem_provodov._skupka_7869889265","7869889265")</f>
        <v>7869889265</v>
      </c>
      <c r="D154" s="25" t="s">
        <v>137</v>
      </c>
      <c r="E154" s="8">
        <v>1</v>
      </c>
      <c r="F154" s="8">
        <v>0</v>
      </c>
      <c r="G154" s="11">
        <v>0</v>
      </c>
      <c r="H154" s="8">
        <v>0</v>
      </c>
      <c r="I154" s="8">
        <v>0</v>
      </c>
      <c r="J154" s="12" t="s">
        <v>50</v>
      </c>
      <c r="K154" s="12">
        <v>24</v>
      </c>
    </row>
    <row r="155" spans="1:11" x14ac:dyDescent="0.3">
      <c r="A155" s="8" t="s">
        <v>13</v>
      </c>
      <c r="B155" t="s">
        <v>31</v>
      </c>
      <c r="C155" s="22" t="str">
        <f>HYPERLINK("https://www.avito.ru/velikiy_novgorod/uslugi/skupka_metalla._redkozemelnye_metally_7869890986","7869890986")</f>
        <v>7869890986</v>
      </c>
      <c r="D155" s="25" t="s">
        <v>136</v>
      </c>
      <c r="E155" s="8">
        <v>3</v>
      </c>
      <c r="F155" s="8">
        <v>0</v>
      </c>
      <c r="G155" s="11">
        <v>0</v>
      </c>
      <c r="H155" s="8">
        <v>0</v>
      </c>
      <c r="I155" s="8">
        <v>0</v>
      </c>
      <c r="J155" s="12" t="s">
        <v>50</v>
      </c>
      <c r="K155" s="12">
        <v>36</v>
      </c>
    </row>
    <row r="156" spans="1:11" x14ac:dyDescent="0.3">
      <c r="A156" s="8" t="s">
        <v>13</v>
      </c>
      <c r="B156" t="s">
        <v>32</v>
      </c>
      <c r="C156" s="22" t="str">
        <f>HYPERLINK("https://www.avito.ru/sankt-peterburg/uslugi/priem_i_vyvoz_kabelya_i_provoda_sdat_kabel_7869891307","7869891307")</f>
        <v>7869891307</v>
      </c>
      <c r="D156" s="25" t="s">
        <v>137</v>
      </c>
      <c r="E156" s="8">
        <v>1</v>
      </c>
      <c r="F156" s="8">
        <v>0</v>
      </c>
      <c r="G156" s="11">
        <v>0</v>
      </c>
      <c r="H156" s="8">
        <v>0</v>
      </c>
      <c r="I156" s="8">
        <v>0</v>
      </c>
      <c r="J156" s="12" t="s">
        <v>50</v>
      </c>
      <c r="K156" s="12">
        <v>72</v>
      </c>
    </row>
    <row r="157" spans="1:11" x14ac:dyDescent="0.3">
      <c r="A157" s="8" t="s">
        <v>13</v>
      </c>
      <c r="B157" t="s">
        <v>48</v>
      </c>
      <c r="C157" s="22" t="str">
        <f>HYPERLINK("https://www.avito.ru/sankt-peterburg/uslugi/spektralnyy_analiz_sostava_metalla_7901077566","7901077566")</f>
        <v>7901077566</v>
      </c>
      <c r="D157" s="25" t="s">
        <v>49</v>
      </c>
      <c r="E157" s="8">
        <v>6</v>
      </c>
      <c r="F157" s="8">
        <v>0</v>
      </c>
      <c r="G157" s="11">
        <v>0</v>
      </c>
      <c r="H157" s="8">
        <v>0</v>
      </c>
      <c r="I157" s="8">
        <v>0</v>
      </c>
      <c r="J157" s="12" t="s">
        <v>50</v>
      </c>
      <c r="K157" s="12">
        <v>136.01</v>
      </c>
    </row>
    <row r="158" spans="1:11" x14ac:dyDescent="0.3">
      <c r="A158" s="8" t="s">
        <v>13</v>
      </c>
      <c r="B158" t="s">
        <v>11</v>
      </c>
      <c r="C158" s="22" t="str">
        <f>HYPERLINK("https://www.avito.ru/sankt-peterburg/uslugi/demontazh_i_rezka_metallokonstruktsiy_sdat_metall_7901199251","7901199251")</f>
        <v>7901199251</v>
      </c>
      <c r="D158" s="25" t="s">
        <v>49</v>
      </c>
      <c r="E158" s="8">
        <v>3</v>
      </c>
      <c r="F158" s="8">
        <v>0</v>
      </c>
      <c r="G158" s="11">
        <v>0</v>
      </c>
      <c r="H158" s="8">
        <v>0</v>
      </c>
      <c r="I158" s="8">
        <v>0</v>
      </c>
      <c r="J158" s="12" t="s">
        <v>50</v>
      </c>
      <c r="K158" s="12">
        <v>2130.71</v>
      </c>
    </row>
    <row r="159" spans="1:11" x14ac:dyDescent="0.3">
      <c r="A159" s="8" t="s">
        <v>13</v>
      </c>
      <c r="B159" t="s">
        <v>62</v>
      </c>
      <c r="C159" s="22" t="str">
        <f>HYPERLINK("https://www.avito.ru/sankt-peterburg/uslugi/priem_metalloloma_vyvoz_metalloloma_demontazh_7901275111","7901275111")</f>
        <v>7901275111</v>
      </c>
      <c r="D159" s="25" t="s">
        <v>131</v>
      </c>
      <c r="E159" s="8">
        <v>2</v>
      </c>
      <c r="F159" s="8">
        <v>0</v>
      </c>
      <c r="G159" s="11">
        <v>0</v>
      </c>
      <c r="H159" s="8">
        <v>0</v>
      </c>
      <c r="I159" s="8">
        <v>0</v>
      </c>
      <c r="J159" s="12" t="s">
        <v>50</v>
      </c>
      <c r="K159" s="12">
        <v>100.8</v>
      </c>
    </row>
    <row r="160" spans="1:11" x14ac:dyDescent="0.3">
      <c r="A160" s="8" t="s">
        <v>13</v>
      </c>
      <c r="B160" t="s">
        <v>116</v>
      </c>
      <c r="C160" s="22" t="str">
        <f>HYPERLINK("https://www.avito.ru/sankt-peterburg/uslugi/priem_metalloloma_vyvoz_metalloloma_demontazh_7901511529","7901511529")</f>
        <v>7901511529</v>
      </c>
      <c r="D160" s="25" t="s">
        <v>131</v>
      </c>
      <c r="E160" s="8">
        <v>1</v>
      </c>
      <c r="F160" s="8">
        <v>0</v>
      </c>
      <c r="G160" s="11">
        <v>0</v>
      </c>
      <c r="H160" s="8">
        <v>0</v>
      </c>
      <c r="I160" s="8">
        <v>0</v>
      </c>
      <c r="J160" s="12" t="s">
        <v>50</v>
      </c>
      <c r="K160" s="12">
        <v>100.8</v>
      </c>
    </row>
    <row r="161" spans="1:11" x14ac:dyDescent="0.3">
      <c r="A161" s="8" t="s">
        <v>13</v>
      </c>
      <c r="B161" t="s">
        <v>51</v>
      </c>
      <c r="C161" s="22" t="str">
        <f>HYPERLINK("https://www.avito.ru/sankt-peterburg/uslugi/priem_metalloloma_vyvoz_metalloloma_demontazh_7901863406","7901863406")</f>
        <v>7901863406</v>
      </c>
      <c r="D161" s="25" t="s">
        <v>131</v>
      </c>
      <c r="E161" s="8">
        <v>4</v>
      </c>
      <c r="F161" s="8">
        <v>0</v>
      </c>
      <c r="G161" s="11">
        <v>0</v>
      </c>
      <c r="H161" s="8">
        <v>0</v>
      </c>
      <c r="I161" s="8">
        <v>0</v>
      </c>
      <c r="J161" s="12" t="s">
        <v>50</v>
      </c>
      <c r="K161" s="12">
        <v>100.8</v>
      </c>
    </row>
    <row r="165" spans="1:11" x14ac:dyDescent="0.3">
      <c r="D165"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A06A3-FB2F-44BA-881E-2B3EE021836C}">
  <dimension ref="A1:J3"/>
  <sheetViews>
    <sheetView topLeftCell="B1" workbookViewId="0">
      <selection activeCell="H11" sqref="H11"/>
    </sheetView>
  </sheetViews>
  <sheetFormatPr defaultRowHeight="14.4" x14ac:dyDescent="0.3"/>
  <cols>
    <col min="2" max="2" width="19.44140625" customWidth="1"/>
    <col min="3" max="3" width="17.33203125" customWidth="1"/>
    <col min="4" max="4" width="18.33203125" customWidth="1"/>
    <col min="5" max="5" width="17.5546875" customWidth="1"/>
    <col min="6" max="6" width="18" customWidth="1"/>
    <col min="7" max="7" width="13.88671875" customWidth="1"/>
    <col min="8" max="8" width="17.33203125" customWidth="1"/>
    <col min="9" max="9" width="17" customWidth="1"/>
    <col min="10" max="10" width="62.44140625" customWidth="1"/>
  </cols>
  <sheetData>
    <row r="1" spans="1:10" ht="43.2" x14ac:dyDescent="0.3">
      <c r="A1" s="2" t="s">
        <v>118</v>
      </c>
      <c r="B1" s="2" t="s">
        <v>119</v>
      </c>
      <c r="C1" s="2" t="s">
        <v>4</v>
      </c>
      <c r="D1" s="2" t="s">
        <v>5</v>
      </c>
      <c r="E1" s="2" t="s">
        <v>6</v>
      </c>
      <c r="F1" s="2" t="s">
        <v>9</v>
      </c>
      <c r="G1" s="2" t="s">
        <v>120</v>
      </c>
      <c r="H1" s="2" t="s">
        <v>7</v>
      </c>
      <c r="I1" s="2" t="s">
        <v>10</v>
      </c>
      <c r="J1" s="2" t="s">
        <v>144</v>
      </c>
    </row>
    <row r="2" spans="1:10" ht="57.6" x14ac:dyDescent="0.3">
      <c r="A2" s="3"/>
      <c r="B2" s="3" t="s">
        <v>147</v>
      </c>
      <c r="C2" s="6">
        <v>3767</v>
      </c>
      <c r="D2" s="4">
        <v>4.9000000000000002E-2</v>
      </c>
      <c r="E2" s="3">
        <v>183</v>
      </c>
      <c r="F2" s="5">
        <v>905.9</v>
      </c>
      <c r="G2" s="3">
        <v>56</v>
      </c>
      <c r="H2" s="3">
        <v>127</v>
      </c>
      <c r="I2" s="5">
        <v>165775</v>
      </c>
      <c r="J2" s="24" t="s">
        <v>148</v>
      </c>
    </row>
    <row r="3" spans="1:10" ht="57.6" x14ac:dyDescent="0.3">
      <c r="B3" s="3" t="s">
        <v>145</v>
      </c>
      <c r="C3" s="6">
        <v>2972</v>
      </c>
      <c r="D3" s="4">
        <v>6.4000000000000001E-2</v>
      </c>
      <c r="E3" s="3">
        <v>180</v>
      </c>
      <c r="F3" s="5">
        <v>840</v>
      </c>
      <c r="G3" s="3">
        <v>76</v>
      </c>
      <c r="H3" s="23">
        <v>104</v>
      </c>
      <c r="I3" s="5">
        <v>160433</v>
      </c>
      <c r="J3" s="24"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4</vt:i4>
      </vt:variant>
    </vt:vector>
  </HeadingPairs>
  <TitlesOfParts>
    <vt:vector size="4" baseType="lpstr">
      <vt:lpstr>Админ панель</vt:lpstr>
      <vt:lpstr>Диаграмма</vt:lpstr>
      <vt:lpstr>Недельный</vt:lpstr>
      <vt:lpstr>Сводная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2026-03-03T07:10:01Z</dcterms:modified>
</cp:coreProperties>
</file>