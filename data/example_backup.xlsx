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'Sheet1'!$A$1:$AD$162</definedName>
  </definedNames>
  <calcPr calcId="122211"/>
</workbook>
</file>

<file path=xl/sharedStrings.xml><?xml version="1.0" encoding="utf-8"?>
<sst xmlns="http://schemas.openxmlformats.org/spreadsheetml/2006/main" count="222" uniqueCount="222">
  <si>
    <t>Номер объявления</t>
  </si>
  <si>
    <t>Регион размещения</t>
  </si>
  <si>
    <t>Город</t>
  </si>
  <si>
    <t>Адрес</t>
  </si>
  <si>
    <t>Категория</t>
  </si>
  <si>
    <t>Подкатегория</t>
  </si>
  <si>
    <t>Параметр</t>
  </si>
  <si>
    <t>Название объявления</t>
  </si>
  <si>
    <t>Цена</t>
  </si>
  <si>
    <t>Дата первой публикации</t>
  </si>
  <si>
    <t>Дата снятия с публикации</t>
  </si>
  <si>
    <t>Дней на Авито</t>
  </si>
  <si>
    <t>Сотрудник</t>
  </si>
  <si>
    <t>Показы</t>
  </si>
  <si>
    <t>Конверсия из показов в просмотры</t>
  </si>
  <si>
    <t>Просмотры</t>
  </si>
  <si>
    <t>Средняя цена просмотра</t>
  </si>
  <si>
    <t>Конверсия из просмотров в контакты</t>
  </si>
  <si>
    <t>Контакты</t>
  </si>
  <si>
    <t>Написали в чат</t>
  </si>
  <si>
    <t>Посмотрели телефон</t>
  </si>
  <si>
    <t>Посмотрели телефон и написали в чат</t>
  </si>
  <si>
    <t>Откликнулись на скидку в чате</t>
  </si>
  <si>
    <t>Средняя цена контакта</t>
  </si>
  <si>
    <t>Добавили в избранное</t>
  </si>
  <si>
    <t>Расходы на объявления</t>
  </si>
  <si>
    <t>Списано бонусов на объявления</t>
  </si>
  <si>
    <t>Расходы на размещение и целевые действия</t>
  </si>
  <si>
    <t>Расходы на продвижение</t>
  </si>
  <si>
    <t>Остальные расходы</t>
  </si>
  <si>
    <t>Архангельская область</t>
  </si>
  <si>
    <t>Архангельск</t>
  </si>
  <si>
    <t>Архангельск, пл. Ленина</t>
  </si>
  <si>
    <t>Услуги</t>
  </si>
  <si>
    <t>Предложение услуг</t>
  </si>
  <si>
    <t>Приём вторсырья</t>
  </si>
  <si>
    <t>5 000 ₽</t>
  </si>
  <si>
    <t>2026-01-20</t>
  </si>
  <si>
    <t>2026-03-22</t>
  </si>
  <si>
    <t>Акрона</t>
  </si>
  <si>
    <t>Вологодская область</t>
  </si>
  <si>
    <t>Череповец</t>
  </si>
  <si>
    <t>Череповец, Индустриальный район, 176-й микрорайон</t>
  </si>
  <si>
    <t>Новгородская область</t>
  </si>
  <si>
    <t>Великий Новгород</t>
  </si>
  <si>
    <t>Великий Новгород, пл. Победы-Софийская</t>
  </si>
  <si>
    <t>Карелия</t>
  </si>
  <si>
    <t>Петрозаводск</t>
  </si>
  <si>
    <t>Петрозаводск, пр-т Ленина</t>
  </si>
  <si>
    <t>Санкт-Петербург</t>
  </si>
  <si>
    <t>Колпино</t>
  </si>
  <si>
    <t>Колпино, Городской сад</t>
  </si>
  <si>
    <t>60 000 ₽</t>
  </si>
  <si>
    <t>2025-12-24</t>
  </si>
  <si>
    <t>2026-03-27</t>
  </si>
  <si>
    <t>Все регионы</t>
  </si>
  <si>
    <t>Санкт-Петербург, Гражданский пр-т, 116к1</t>
  </si>
  <si>
    <t>27 000 ₽</t>
  </si>
  <si>
    <t>Санкт-Петербург, 1 линия – Кировско-Выборгская</t>
  </si>
  <si>
    <t>от 5 500 ₽ за услугу</t>
  </si>
  <si>
    <t>2026-01-19</t>
  </si>
  <si>
    <t>2026-03-20</t>
  </si>
  <si>
    <t xml:space="preserve">Канбаров Эмиль </t>
  </si>
  <si>
    <t>Санкт-Петербург, ул. Смолячкова, 21</t>
  </si>
  <si>
    <t>23 000 ₽ за услугу</t>
  </si>
  <si>
    <t>85 ₽ за услугу</t>
  </si>
  <si>
    <t>2026-03-21</t>
  </si>
  <si>
    <t>Псковская область</t>
  </si>
  <si>
    <t>Псков</t>
  </si>
  <si>
    <t>Псков, пл. Ленина</t>
  </si>
  <si>
    <t>760 ₽</t>
  </si>
  <si>
    <t>2026-01-28</t>
  </si>
  <si>
    <t>2026-04-01</t>
  </si>
  <si>
    <t>Санкт-Петербург, ул. Савушкина, 2</t>
  </si>
  <si>
    <t>27 000 ₽ за услугу</t>
  </si>
  <si>
    <t>600 ₽</t>
  </si>
  <si>
    <t>Санкт-Петербург, пр-т Просвещения</t>
  </si>
  <si>
    <t>30 000 ₽ за услугу</t>
  </si>
  <si>
    <t>2026-01-15</t>
  </si>
  <si>
    <t>Санкт-Петербург, наб. канала Грибоедова, 4</t>
  </si>
  <si>
    <t>2026-01-29</t>
  </si>
  <si>
    <t>Вологда</t>
  </si>
  <si>
    <t>Вологда, ул. Марии Ульяновой</t>
  </si>
  <si>
    <t/>
  </si>
  <si>
    <t>Санкт-Петербург, Выборгское ш., 1</t>
  </si>
  <si>
    <t>770 ₽ за услугу</t>
  </si>
  <si>
    <t>Санкт-Петербург, Грузовой пр., 13Э</t>
  </si>
  <si>
    <t>2026-01-21</t>
  </si>
  <si>
    <t>2026-03-25</t>
  </si>
  <si>
    <t>Пушкин</t>
  </si>
  <si>
    <t>Пушкин, Октябрьский б-р</t>
  </si>
  <si>
    <t>24 000 ₽ за услугу</t>
  </si>
  <si>
    <t>Санкт-Петербург, Малая Морская ул., 4/1</t>
  </si>
  <si>
    <t>26 400 ₽ за услугу</t>
  </si>
  <si>
    <t>2025-12-23</t>
  </si>
  <si>
    <t>Санкт-Петербург, Большая Зеленина ул., 12</t>
  </si>
  <si>
    <t>Вывоз мусора</t>
  </si>
  <si>
    <t>Санкт-Петербург, Невский район</t>
  </si>
  <si>
    <t>Санкт-Петербург, ул. Коллонтай, 20</t>
  </si>
  <si>
    <t>760 ₽ за услугу</t>
  </si>
  <si>
    <t>1 800 ₽</t>
  </si>
  <si>
    <t>770 ₽</t>
  </si>
  <si>
    <t>62 000 ₽</t>
  </si>
  <si>
    <t>Кронштадт</t>
  </si>
  <si>
    <t>Кронштадт, Якорная пл.</t>
  </si>
  <si>
    <t>1 020 ₽</t>
  </si>
  <si>
    <t>Сестрорецк</t>
  </si>
  <si>
    <t>Сестрорецк, пер. Свободы</t>
  </si>
  <si>
    <t>2026-03-28</t>
  </si>
  <si>
    <t>750 ₽</t>
  </si>
  <si>
    <t>2 100 ₽</t>
  </si>
  <si>
    <t>500 ₽</t>
  </si>
  <si>
    <t>1 580 ₽</t>
  </si>
  <si>
    <t>Санкт-Петербург, Средний пр-т Васильевского острова, 32</t>
  </si>
  <si>
    <t>3 900 ₽</t>
  </si>
  <si>
    <t>30 000 ₽</t>
  </si>
  <si>
    <t>Ленинградская область</t>
  </si>
  <si>
    <t>Кингисепп</t>
  </si>
  <si>
    <t>2026-02-25</t>
  </si>
  <si>
    <t>Зеленогорск</t>
  </si>
  <si>
    <t>Зеленогорск, Комсомольский сквер</t>
  </si>
  <si>
    <t>300 ₽</t>
  </si>
  <si>
    <t>Санкт-Петербург, Сенная пл., 2</t>
  </si>
  <si>
    <t>65 ₽ за услугу</t>
  </si>
  <si>
    <t>2 559 ₽ за услугу</t>
  </si>
  <si>
    <t>Санкт-Петербург, 4 линия – Лахтинско-Правобережная</t>
  </si>
  <si>
    <t>Другое</t>
  </si>
  <si>
    <t>1 000 ₽ за услугу</t>
  </si>
  <si>
    <t>2026-02-05</t>
  </si>
  <si>
    <t>2026-03-07</t>
  </si>
  <si>
    <t>Волосово</t>
  </si>
  <si>
    <t>2026-02-06</t>
  </si>
  <si>
    <t>2026-03-08</t>
  </si>
  <si>
    <t>Санкт-Петербург, пл. Стачек</t>
  </si>
  <si>
    <t>24 000 ₽</t>
  </si>
  <si>
    <t>Санкт-Петербург, Комендантский пр-т</t>
  </si>
  <si>
    <t>29 000 ₽</t>
  </si>
  <si>
    <t>1 630 ₽</t>
  </si>
  <si>
    <t>Санкт-Петербург, 2 линия – Московско-Петроградская</t>
  </si>
  <si>
    <t>Цена договорная</t>
  </si>
  <si>
    <t>380 ₽ за услугу</t>
  </si>
  <si>
    <t>125 ₽ за услугу</t>
  </si>
  <si>
    <t>Санкт-Петербург, 3 линия – Невско-Василеостровская</t>
  </si>
  <si>
    <t>пос. Стрельна, ул. Нижняя Колония, 51А</t>
  </si>
  <si>
    <t>Выборг</t>
  </si>
  <si>
    <t>Выборг, Красная пл.</t>
  </si>
  <si>
    <t>1 500 ₽</t>
  </si>
  <si>
    <t>Лебяжье</t>
  </si>
  <si>
    <t>городской пос. Лебяжье, Приморская ул.</t>
  </si>
  <si>
    <t>2026-02-28</t>
  </si>
  <si>
    <t>270 ₽ за услугу</t>
  </si>
  <si>
    <t>Санкт-Петербург, Студенческая ул.</t>
  </si>
  <si>
    <t>2026-02-04</t>
  </si>
  <si>
    <t>2026-03-06</t>
  </si>
  <si>
    <t>городской пос. Новоселье, Красносельское ш.</t>
  </si>
  <si>
    <t>2026-01-23</t>
  </si>
  <si>
    <t>Санкт-Петербург, ул. Оптиков</t>
  </si>
  <si>
    <t>Санкт-Петербург, Дворцовая пл.</t>
  </si>
  <si>
    <t>Снос и демонтаж</t>
  </si>
  <si>
    <t>10 000 ₽</t>
  </si>
  <si>
    <t>2026-02-09</t>
  </si>
  <si>
    <t>2026-03-11</t>
  </si>
  <si>
    <t>Сланцы</t>
  </si>
  <si>
    <t>Сланцы, ул. Кирова</t>
  </si>
  <si>
    <t>Коммунар</t>
  </si>
  <si>
    <t>Коммунар, Ленинградское ш.</t>
  </si>
  <si>
    <t>1 600 ₽</t>
  </si>
  <si>
    <t>Янино-1</t>
  </si>
  <si>
    <t>городской пос. Янино-1</t>
  </si>
  <si>
    <t>Петергоф</t>
  </si>
  <si>
    <t>Петергоф, Верхний сад</t>
  </si>
  <si>
    <t>Подпорожье</t>
  </si>
  <si>
    <t>1 450 ₽ за услугу</t>
  </si>
  <si>
    <t>2 700 ₽ за услугу</t>
  </si>
  <si>
    <t>Санкт-Петербург, Мебельная ул., 2И</t>
  </si>
  <si>
    <t>2026-01-27</t>
  </si>
  <si>
    <t>2026-02-16</t>
  </si>
  <si>
    <t>2026-03-18</t>
  </si>
  <si>
    <t>Сясьстрой</t>
  </si>
  <si>
    <t>Сясьстрой, ул. 25 Октября</t>
  </si>
  <si>
    <t>Лодейное Поле</t>
  </si>
  <si>
    <t>26 400 ₽</t>
  </si>
  <si>
    <t>2026-03-26</t>
  </si>
  <si>
    <t>76 900 ₽</t>
  </si>
  <si>
    <t>Санкт-Петербург, Бухарестская ул., 30</t>
  </si>
  <si>
    <t>Кудрово</t>
  </si>
  <si>
    <t>Кудрово, мкр-н Южное Кудрово</t>
  </si>
  <si>
    <t>Сертолово</t>
  </si>
  <si>
    <t>Сертолово, парк Героев</t>
  </si>
  <si>
    <t>Высоцк</t>
  </si>
  <si>
    <t>Высоцк, Центральная ул.</t>
  </si>
  <si>
    <t>26 000 ₽</t>
  </si>
  <si>
    <t>Санкт-Петербург, 5 линия – Фрунзенско-Приморская</t>
  </si>
  <si>
    <t>Санкт-Петербург, наб. канала Грибоедова</t>
  </si>
  <si>
    <t>Светогорск</t>
  </si>
  <si>
    <t>23 000 ₽</t>
  </si>
  <si>
    <t>Тайцы</t>
  </si>
  <si>
    <t>городской пос. Тайцы, Советская ул.</t>
  </si>
  <si>
    <t>Коммунары</t>
  </si>
  <si>
    <t>пос. Коммунары, Центральная ул.</t>
  </si>
  <si>
    <t>Санкт-Петербург, Кантемировская ул., 25</t>
  </si>
  <si>
    <t>Бугры</t>
  </si>
  <si>
    <t>пос. Бугры, Шоссейная ул., 7Б</t>
  </si>
  <si>
    <t>Мурино</t>
  </si>
  <si>
    <t>Мурино, западный обход Мурино</t>
  </si>
  <si>
    <t>Кировск</t>
  </si>
  <si>
    <t>Кировск, Советская ул.</t>
  </si>
  <si>
    <t>850 ₽</t>
  </si>
  <si>
    <t>Гатчина</t>
  </si>
  <si>
    <t>Гатчина, Центр</t>
  </si>
  <si>
    <t>2026-02-24</t>
  </si>
  <si>
    <t>Новое Девяткино</t>
  </si>
  <si>
    <t>д. Новое Девяткино, Главная ул., 48</t>
  </si>
  <si>
    <t>Колтуши</t>
  </si>
  <si>
    <t>Колтуши, деревня Колтуши, 28</t>
  </si>
  <si>
    <t>Никольское</t>
  </si>
  <si>
    <t>Приморск</t>
  </si>
  <si>
    <t>Приморск, наб. Лебедева</t>
  </si>
  <si>
    <t>1 950 ₽ за услугу</t>
  </si>
  <si>
    <t>1 600 ₽ за услугу</t>
  </si>
  <si>
    <t>21 ₽ за услугу</t>
  </si>
  <si>
    <t>2026-01-26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</si>
</sst>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font>
    <font>
      <family val="2"/>
      <color rgb="FF1478C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false">
      <alignment/>
    </xf>
    <xf numFmtId="0" fontId="0" fillId="0" borderId="0" xfId="0" applyAlignment="true">
      <alignment horizontal="right"/>
    </xf>
    <xf numFmtId="0" fontId="2" fillId="0" borderId="0" xfId="0" applyFont="true" applyAlignment="false">
      <alignment/>
    </xf>
    <xf numFmtId="10" fontId="0" fillId="0" borderId="0" xfId="0" applyNumberFormat="true" applyAlignment="false">
      <alignment/>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Right" state="frozen" topLeftCell="AE2" ySplit="1"/>
    </sheetView>
  </sheetViews>
  <sheetFormatPr defaultRowHeight="15"/>
  <cols>
    <col customWidth="true" max="1" min="1" width="22"/>
    <col customWidth="true" max="2" min="2" width="23"/>
    <col customWidth="true" max="4" min="3" width="11"/>
    <col customWidth="true" max="5" min="5" width="15"/>
    <col customWidth="true" max="6" min="6" width="18"/>
    <col customWidth="true" max="7" min="7" width="14"/>
    <col customWidth="true" max="8" min="8" width="25"/>
    <col customWidth="true" max="9" min="9" width="10"/>
    <col customWidth="true" max="10" min="10" width="28"/>
    <col customWidth="true" max="11" min="11" width="30"/>
    <col customWidth="true" max="12" min="12" width="19"/>
    <col customWidth="true" max="13" min="13" width="15"/>
    <col customWidth="true" max="14" min="14" width="12"/>
    <col customWidth="true" max="15" min="15" width="38"/>
    <col customWidth="true" max="16" min="16" width="15"/>
    <col customWidth="true" max="17" min="17" width="28"/>
    <col customWidth="true" max="18" min="18" width="40"/>
    <col customWidth="true" max="19" min="19" width="14"/>
    <col customWidth="true" max="20" min="20" width="20"/>
    <col customWidth="true" max="21" min="21" width="24"/>
    <col customWidth="true" max="22" min="22" width="41"/>
    <col customWidth="true" max="23" min="23" width="35"/>
    <col customWidth="true" max="24" min="24" width="27"/>
    <col customWidth="true" max="25" min="25" width="26"/>
    <col customWidth="true" max="26" min="26" width="27"/>
    <col customWidth="true" max="27" min="27" width="35"/>
    <col customWidth="true" max="28" min="28" width="46"/>
    <col customWidth="true" max="29" min="29" width="28"/>
    <col customWidth="true" max="30" min="30" width="2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2" t="str">
        <f>HYPERLINK("https://www.avito.ru/arhangelsk/uslugi/sdat_staryy_akkumulyator._priem_akkumulyatorov_7837068432","7837068432")</f>
      </c>
      <c r="B2" t="s">
        <v>30</v>
      </c>
      <c r="C2" t="s">
        <v>31</v>
      </c>
      <c r="D2" t="s">
        <v>32</v>
      </c>
      <c r="E2" t="s">
        <v>33</v>
      </c>
      <c r="F2" t="s">
        <v>34</v>
      </c>
      <c r="G2" t="s">
        <v>35</v>
      </c>
      <c r="H2" s="3" t="str">
        <f>HYPERLINK("https://www.avito.ru/arhangelsk/uslugi/sdat_staryy_akkumulyator._priem_akkumulyatorov_7837068432","Сдать старый аккумулятор. Приём аккумуляторов")</f>
      </c>
      <c r="I2" t="s">
        <v>36</v>
      </c>
      <c r="J2" t="s">
        <v>37</v>
      </c>
      <c r="K2" t="s">
        <v>38</v>
      </c>
      <c r="L2">
        <v>44</v>
      </c>
      <c r="M2" t="s">
        <v>39</v>
      </c>
      <c r="N2">
        <v>4182</v>
      </c>
      <c r="O2" s="4">
        <v>0.1073</v>
      </c>
      <c r="P2">
        <v>449</v>
      </c>
      <c r="Q2" s="5">
        <v>0.08</v>
      </c>
      <c r="R2" s="4">
        <v>0.0178</v>
      </c>
      <c r="S2">
        <v>8</v>
      </c>
      <c r="T2">
        <v>4</v>
      </c>
      <c r="U2">
        <v>4</v>
      </c>
      <c r="V2">
        <v>0</v>
      </c>
      <c r="W2">
        <v>0</v>
      </c>
      <c r="X2" s="5">
        <v>4.72</v>
      </c>
      <c r="Y2">
        <v>19</v>
      </c>
      <c r="Z2" s="5">
        <v>37.8</v>
      </c>
      <c r="AA2" s="5">
        <v>0</v>
      </c>
      <c r="AB2" s="5">
        <v>37.8</v>
      </c>
      <c r="AC2" s="5">
        <v>0</v>
      </c>
      <c r="AD2" s="5">
        <v>0</v>
      </c>
    </row>
    <row r="3">
      <c r="A3" s="2" t="str">
        <f>HYPERLINK("https://www.avito.ru/cherepovets/uslugi/sdat_staryy_akkumulyator._priem_akkumulyatorov_7836956803","7836956803")</f>
      </c>
      <c r="B3" t="s">
        <v>40</v>
      </c>
      <c r="C3" t="s">
        <v>41</v>
      </c>
      <c r="D3" t="s">
        <v>42</v>
      </c>
      <c r="E3" t="s">
        <v>33</v>
      </c>
      <c r="F3" t="s">
        <v>34</v>
      </c>
      <c r="G3" t="s">
        <v>35</v>
      </c>
      <c r="H3" s="3" t="str">
        <f>HYPERLINK("https://www.avito.ru/cherepovets/uslugi/sdat_staryy_akkumulyator._priem_akkumulyatorov_7836956803","Сдать старый аккумулятор. Приём аккумуляторов")</f>
      </c>
      <c r="I3" t="s">
        <v>36</v>
      </c>
      <c r="J3" t="s">
        <v>37</v>
      </c>
      <c r="K3" t="s">
        <v>38</v>
      </c>
      <c r="L3">
        <v>44</v>
      </c>
      <c r="M3" t="s">
        <v>39</v>
      </c>
      <c r="N3">
        <v>2446</v>
      </c>
      <c r="O3" s="4">
        <v>0.0854</v>
      </c>
      <c r="P3">
        <v>209</v>
      </c>
      <c r="Q3" s="5">
        <v>0.2</v>
      </c>
      <c r="R3" s="4">
        <v>0.0239</v>
      </c>
      <c r="S3">
        <v>5</v>
      </c>
      <c r="T3">
        <v>3</v>
      </c>
      <c r="U3">
        <v>2</v>
      </c>
      <c r="V3">
        <v>0</v>
      </c>
      <c r="W3">
        <v>0</v>
      </c>
      <c r="X3" s="5">
        <v>8.4</v>
      </c>
      <c r="Y3">
        <v>14</v>
      </c>
      <c r="Z3" s="5">
        <v>42</v>
      </c>
      <c r="AA3" s="5">
        <v>0</v>
      </c>
      <c r="AB3" s="5">
        <v>42</v>
      </c>
      <c r="AC3" s="5">
        <v>0</v>
      </c>
      <c r="AD3" s="5">
        <v>0</v>
      </c>
    </row>
    <row r="4">
      <c r="A4" s="2" t="str">
        <f>HYPERLINK("https://www.avito.ru/velikiy_novgorod/uslugi/sdat_staryy_akkumulyator._priem_akkumulyatorov_7837165224","7837165224")</f>
      </c>
      <c r="B4" t="s">
        <v>43</v>
      </c>
      <c r="C4" t="s">
        <v>44</v>
      </c>
      <c r="D4" t="s">
        <v>45</v>
      </c>
      <c r="E4" t="s">
        <v>33</v>
      </c>
      <c r="F4" t="s">
        <v>34</v>
      </c>
      <c r="G4" t="s">
        <v>35</v>
      </c>
      <c r="H4" s="3" t="str">
        <f>HYPERLINK("https://www.avito.ru/velikiy_novgorod/uslugi/sdat_staryy_akkumulyator._priem_akkumulyatorov_7837165224","Сдать старый аккумулятор. Приём аккумуляторов")</f>
      </c>
      <c r="I4" t="s">
        <v>36</v>
      </c>
      <c r="J4" t="s">
        <v>37</v>
      </c>
      <c r="K4" t="s">
        <v>38</v>
      </c>
      <c r="L4">
        <v>44</v>
      </c>
      <c r="M4" t="s">
        <v>39</v>
      </c>
      <c r="N4">
        <v>2181</v>
      </c>
      <c r="O4" s="4">
        <v>0.0907</v>
      </c>
      <c r="P4">
        <v>198</v>
      </c>
      <c r="Q4" s="5">
        <v>0.31</v>
      </c>
      <c r="R4" s="4">
        <v>0.0252</v>
      </c>
      <c r="S4">
        <v>5</v>
      </c>
      <c r="T4">
        <v>3</v>
      </c>
      <c r="U4">
        <v>2</v>
      </c>
      <c r="V4">
        <v>0</v>
      </c>
      <c r="W4">
        <v>0</v>
      </c>
      <c r="X4" s="5">
        <v>12.6</v>
      </c>
      <c r="Y4">
        <v>9</v>
      </c>
      <c r="Z4" s="5">
        <v>63</v>
      </c>
      <c r="AA4" s="5">
        <v>0</v>
      </c>
      <c r="AB4" s="5">
        <v>63</v>
      </c>
      <c r="AC4" s="5">
        <v>0</v>
      </c>
      <c r="AD4" s="5">
        <v>0</v>
      </c>
    </row>
    <row r="5">
      <c r="A5" s="2" t="str">
        <f>HYPERLINK("https://www.avito.ru/petrozavodsk/uslugi/sdat_staryy_akkumulyator._priem_akkumulyatorov_7837417818","7837417818")</f>
      </c>
      <c r="B5" t="s">
        <v>46</v>
      </c>
      <c r="C5" t="s">
        <v>47</v>
      </c>
      <c r="D5" t="s">
        <v>48</v>
      </c>
      <c r="E5" t="s">
        <v>33</v>
      </c>
      <c r="F5" t="s">
        <v>34</v>
      </c>
      <c r="G5" t="s">
        <v>35</v>
      </c>
      <c r="H5" s="3" t="str">
        <f>HYPERLINK("https://www.avito.ru/petrozavodsk/uslugi/sdat_staryy_akkumulyator._priem_akkumulyatorov_7837417818","Сдать старый аккумулятор. Приём аккумуляторов")</f>
      </c>
      <c r="I5" t="s">
        <v>36</v>
      </c>
      <c r="J5" t="s">
        <v>37</v>
      </c>
      <c r="K5" t="s">
        <v>38</v>
      </c>
      <c r="L5">
        <v>44</v>
      </c>
      <c r="M5" t="s">
        <v>39</v>
      </c>
      <c r="N5">
        <v>1835</v>
      </c>
      <c r="O5" s="4">
        <v>0.0997</v>
      </c>
      <c r="P5">
        <v>183</v>
      </c>
      <c r="Q5" s="5">
        <v>0.22</v>
      </c>
      <c r="R5" s="4">
        <v>0.0601</v>
      </c>
      <c r="S5">
        <v>11</v>
      </c>
      <c r="T5">
        <v>6</v>
      </c>
      <c r="U5">
        <v>5</v>
      </c>
      <c r="V5">
        <v>0</v>
      </c>
      <c r="W5">
        <v>0</v>
      </c>
      <c r="X5" s="5">
        <v>3.81</v>
      </c>
      <c r="Y5">
        <v>16</v>
      </c>
      <c r="Z5" s="5">
        <v>42</v>
      </c>
      <c r="AA5" s="5">
        <v>0</v>
      </c>
      <c r="AB5" s="5">
        <v>42</v>
      </c>
      <c r="AC5" s="5">
        <v>0</v>
      </c>
      <c r="AD5" s="5">
        <v>0</v>
      </c>
    </row>
    <row r="6">
      <c r="A6" s="2" t="str">
        <f>HYPERLINK("https://www.avito.ru/sankt-peterburg_kolpino/uslugi/sdat_staryy_akkumulyator._priem_akkumulyatorov_7804981231","7804981231")</f>
      </c>
      <c r="B6" t="s">
        <v>49</v>
      </c>
      <c r="C6" t="s">
        <v>50</v>
      </c>
      <c r="D6" t="s">
        <v>51</v>
      </c>
      <c r="E6" t="s">
        <v>33</v>
      </c>
      <c r="F6" t="s">
        <v>34</v>
      </c>
      <c r="G6" t="s">
        <v>35</v>
      </c>
      <c r="H6" s="3" t="str">
        <f>HYPERLINK("https://www.avito.ru/sankt-peterburg_kolpino/uslugi/sdat_staryy_akkumulyator._priem_akkumulyatorov_7804981231","Сдать старый аккумулятор. Приём аккумуляторов")</f>
      </c>
      <c r="I6" t="s">
        <v>52</v>
      </c>
      <c r="J6" t="s">
        <v>53</v>
      </c>
      <c r="K6" t="s">
        <v>54</v>
      </c>
      <c r="L6">
        <v>71</v>
      </c>
      <c r="M6" t="s">
        <v>39</v>
      </c>
      <c r="N6">
        <v>1350</v>
      </c>
      <c r="O6" s="4">
        <v>0.1155</v>
      </c>
      <c r="P6">
        <v>156</v>
      </c>
      <c r="Q6" s="5">
        <v>30.61</v>
      </c>
      <c r="R6" s="4">
        <v>0.0705</v>
      </c>
      <c r="S6">
        <v>11</v>
      </c>
      <c r="T6">
        <v>6</v>
      </c>
      <c r="U6">
        <v>5</v>
      </c>
      <c r="V6">
        <v>0</v>
      </c>
      <c r="W6">
        <v>0</v>
      </c>
      <c r="X6" s="5">
        <v>434.21</v>
      </c>
      <c r="Y6">
        <v>12</v>
      </c>
      <c r="Z6" s="5">
        <v>4776.4</v>
      </c>
      <c r="AA6" s="5">
        <v>0</v>
      </c>
      <c r="AB6" s="5">
        <v>86.4</v>
      </c>
      <c r="AC6" s="5">
        <v>4690</v>
      </c>
      <c r="AD6" s="5">
        <v>0</v>
      </c>
    </row>
    <row r="7">
      <c r="A7" s="2" t="str">
        <f>HYPERLINK("https://www.avito.ru/sankt-peterburg/uslugi/skupka_i_vyvoz_metalloloma_v_spb_i_lo_s_demontazhem_7805608788","7805608788")</f>
      </c>
      <c r="B7" t="s">
        <v>55</v>
      </c>
      <c r="C7" t="s">
        <v>49</v>
      </c>
      <c r="D7" t="s">
        <v>56</v>
      </c>
      <c r="E7" t="s">
        <v>33</v>
      </c>
      <c r="F7" t="s">
        <v>34</v>
      </c>
      <c r="G7" t="s">
        <v>35</v>
      </c>
      <c r="H7" s="3" t="str">
        <f>HYPERLINK("https://www.avito.ru/sankt-peterburg/uslugi/skupka_i_vyvoz_metalloloma_v_spb_i_lo_s_demontazhem_7805608788","Скупка и вывоз металлолома в СПб и ло с демонтажем")</f>
      </c>
      <c r="I7" t="s">
        <v>57</v>
      </c>
      <c r="J7" t="s">
        <v>53</v>
      </c>
      <c r="K7" t="s">
        <v>54</v>
      </c>
      <c r="L7">
        <v>71</v>
      </c>
      <c r="M7" t="s">
        <v>39</v>
      </c>
      <c r="N7">
        <v>882</v>
      </c>
      <c r="O7" s="4">
        <v>0.1609</v>
      </c>
      <c r="P7">
        <v>142</v>
      </c>
      <c r="Q7" s="5">
        <v>110.83</v>
      </c>
      <c r="R7" s="4">
        <v>0.0985</v>
      </c>
      <c r="S7">
        <v>14</v>
      </c>
      <c r="T7">
        <v>7</v>
      </c>
      <c r="U7">
        <v>7</v>
      </c>
      <c r="V7">
        <v>0</v>
      </c>
      <c r="W7">
        <v>0</v>
      </c>
      <c r="X7" s="5">
        <v>1124.17</v>
      </c>
      <c r="Y7">
        <v>8</v>
      </c>
      <c r="Z7" s="5">
        <v>15738.4</v>
      </c>
      <c r="AA7" s="5">
        <v>0</v>
      </c>
      <c r="AB7" s="5">
        <v>86.4</v>
      </c>
      <c r="AC7" s="5">
        <v>15652</v>
      </c>
      <c r="AD7" s="5">
        <v>0</v>
      </c>
    </row>
    <row r="8">
      <c r="A8" s="2" t="str">
        <f>HYPERLINK("https://www.avito.ru/sankt-peterburg/uslugi/sdat_reztsy_vktkpriem_loma_7836999512","7836999512")</f>
      </c>
      <c r="B8" t="s">
        <v>55</v>
      </c>
      <c r="C8" t="s">
        <v>49</v>
      </c>
      <c r="D8" t="s">
        <v>58</v>
      </c>
      <c r="E8" t="s">
        <v>33</v>
      </c>
      <c r="F8" t="s">
        <v>34</v>
      </c>
      <c r="G8" t="s">
        <v>35</v>
      </c>
      <c r="H8" s="3" t="str">
        <f>HYPERLINK("https://www.avito.ru/sankt-peterburg/uslugi/sdat_reztsy_vktkpriem_loma_7836999512","Сдать резцы вктк/прием лома")</f>
      </c>
      <c r="I8" t="s">
        <v>59</v>
      </c>
      <c r="J8" t="s">
        <v>60</v>
      </c>
      <c r="K8" t="s">
        <v>61</v>
      </c>
      <c r="L8">
        <v>45</v>
      </c>
      <c r="M8" t="s">
        <v>62</v>
      </c>
      <c r="N8">
        <v>585</v>
      </c>
      <c r="O8" s="4">
        <v>0.1675</v>
      </c>
      <c r="P8">
        <v>98</v>
      </c>
      <c r="Q8" s="5">
        <v>1.02</v>
      </c>
      <c r="R8" s="4">
        <v>0.0204</v>
      </c>
      <c r="S8">
        <v>2</v>
      </c>
      <c r="T8">
        <v>1</v>
      </c>
      <c r="U8">
        <v>1</v>
      </c>
      <c r="V8">
        <v>0</v>
      </c>
      <c r="W8">
        <v>0</v>
      </c>
      <c r="X8" s="5">
        <v>50.4</v>
      </c>
      <c r="Y8">
        <v>13</v>
      </c>
      <c r="Z8" s="5">
        <v>100.8</v>
      </c>
      <c r="AA8" s="5">
        <v>0</v>
      </c>
      <c r="AB8" s="5">
        <v>100.8</v>
      </c>
      <c r="AC8" s="5">
        <v>0</v>
      </c>
      <c r="AD8" s="5">
        <v>0</v>
      </c>
    </row>
    <row r="9">
      <c r="A9" s="2" t="str">
        <f>HYPERLINK("https://www.avito.ru/sankt-peterburg/uslugi/sdat_staryy_akkumulyator._priem_akkumulyatorov_7805642809","7805642809")</f>
      </c>
      <c r="B9" t="s">
        <v>55</v>
      </c>
      <c r="C9" t="s">
        <v>49</v>
      </c>
      <c r="D9" t="s">
        <v>63</v>
      </c>
      <c r="E9" t="s">
        <v>33</v>
      </c>
      <c r="F9" t="s">
        <v>34</v>
      </c>
      <c r="G9" t="s">
        <v>35</v>
      </c>
      <c r="H9" s="3" t="str">
        <f>HYPERLINK("https://www.avito.ru/sankt-peterburg/uslugi/sdat_staryy_akkumulyator._priem_akkumulyatorov_7805642809","Сдать старый аккумулятор. Приём аккумуляторов")</f>
      </c>
      <c r="I9" t="s">
        <v>36</v>
      </c>
      <c r="J9" t="s">
        <v>53</v>
      </c>
      <c r="K9" t="s">
        <v>54</v>
      </c>
      <c r="L9">
        <v>71</v>
      </c>
      <c r="M9" t="s">
        <v>39</v>
      </c>
      <c r="N9">
        <v>483</v>
      </c>
      <c r="O9" s="4">
        <v>0.2008</v>
      </c>
      <c r="P9">
        <v>97</v>
      </c>
      <c r="Q9" s="5">
        <v>35.42</v>
      </c>
      <c r="R9" s="4">
        <v>0.1237</v>
      </c>
      <c r="S9">
        <v>12</v>
      </c>
      <c r="T9">
        <v>4</v>
      </c>
      <c r="U9">
        <v>8</v>
      </c>
      <c r="V9">
        <v>0</v>
      </c>
      <c r="W9">
        <v>0</v>
      </c>
      <c r="X9" s="5">
        <v>286.36</v>
      </c>
      <c r="Y9">
        <v>7</v>
      </c>
      <c r="Z9" s="5">
        <v>3436.4</v>
      </c>
      <c r="AA9" s="5">
        <v>0</v>
      </c>
      <c r="AB9" s="5">
        <v>86.4</v>
      </c>
      <c r="AC9" s="5">
        <v>3350</v>
      </c>
      <c r="AD9" s="5">
        <v>0</v>
      </c>
    </row>
    <row r="10">
      <c r="A10" s="2" t="str">
        <f>HYPERLINK("https://www.avito.ru/sankt-peterburg_kolpino/uslugi/priem_metalloloma_vyvoz_metalloloma_demontazh_7805527338","7805527338")</f>
      </c>
      <c r="B10" t="s">
        <v>49</v>
      </c>
      <c r="C10" t="s">
        <v>50</v>
      </c>
      <c r="D10" t="s">
        <v>51</v>
      </c>
      <c r="E10" t="s">
        <v>33</v>
      </c>
      <c r="F10" t="s">
        <v>34</v>
      </c>
      <c r="G10" t="s">
        <v>35</v>
      </c>
      <c r="H10" s="3" t="str">
        <f>HYPERLINK("https://www.avito.ru/sankt-peterburg_kolpino/uslugi/priem_metalloloma_vyvoz_metalloloma_demontazh_7805527338","Прием металлолома / вывоз металлолома / демонтаж")</f>
      </c>
      <c r="I10" t="s">
        <v>64</v>
      </c>
      <c r="J10" t="s">
        <v>53</v>
      </c>
      <c r="K10" t="s">
        <v>54</v>
      </c>
      <c r="L10">
        <v>71</v>
      </c>
      <c r="M10" t="s">
        <v>39</v>
      </c>
      <c r="N10">
        <v>505</v>
      </c>
      <c r="O10" s="4">
        <v>0.1881</v>
      </c>
      <c r="P10">
        <v>95</v>
      </c>
      <c r="Q10" s="5">
        <v>165.81</v>
      </c>
      <c r="R10" s="4">
        <v>0.0631</v>
      </c>
      <c r="S10">
        <v>6</v>
      </c>
      <c r="T10">
        <v>5</v>
      </c>
      <c r="U10">
        <v>1</v>
      </c>
      <c r="V10">
        <v>0</v>
      </c>
      <c r="W10">
        <v>0</v>
      </c>
      <c r="X10" s="5">
        <v>2625.46</v>
      </c>
      <c r="Y10">
        <v>3</v>
      </c>
      <c r="Z10" s="5">
        <v>15752.8</v>
      </c>
      <c r="AA10" s="5">
        <v>0</v>
      </c>
      <c r="AB10" s="5">
        <v>100.8</v>
      </c>
      <c r="AC10" s="5">
        <v>15652</v>
      </c>
      <c r="AD10" s="5">
        <v>0</v>
      </c>
    </row>
    <row r="11">
      <c r="A11" s="2" t="str">
        <f>HYPERLINK("https://www.avito.ru/sankt-peterburg/uslugi/priem_bystrorezhuschey_stalisdat_lom_7837597444","7837597444")</f>
      </c>
      <c r="B11" t="s">
        <v>55</v>
      </c>
      <c r="C11" t="s">
        <v>49</v>
      </c>
      <c r="D11" t="s">
        <v>58</v>
      </c>
      <c r="E11" t="s">
        <v>33</v>
      </c>
      <c r="F11" t="s">
        <v>34</v>
      </c>
      <c r="G11" t="s">
        <v>35</v>
      </c>
      <c r="H11" s="3" t="str">
        <f>HYPERLINK("https://www.avito.ru/sankt-peterburg/uslugi/priem_bystrorezhuschey_stalisdat_lom_7837597444","Прием быстрорежущей стали/сдать лом")</f>
      </c>
      <c r="I11" t="s">
        <v>65</v>
      </c>
      <c r="J11" t="s">
        <v>60</v>
      </c>
      <c r="K11" t="s">
        <v>66</v>
      </c>
      <c r="L11">
        <v>45</v>
      </c>
      <c r="M11" t="s">
        <v>62</v>
      </c>
      <c r="N11">
        <v>485</v>
      </c>
      <c r="O11" s="4">
        <v>0.1938</v>
      </c>
      <c r="P11">
        <v>94</v>
      </c>
      <c r="Q11" s="5">
        <v>1.07</v>
      </c>
      <c r="R11" s="4">
        <v>0.0531</v>
      </c>
      <c r="S11">
        <v>5</v>
      </c>
      <c r="T11">
        <v>3</v>
      </c>
      <c r="U11">
        <v>1</v>
      </c>
      <c r="V11">
        <v>1</v>
      </c>
      <c r="W11">
        <v>0</v>
      </c>
      <c r="X11" s="5">
        <v>20.16</v>
      </c>
      <c r="Y11">
        <v>6</v>
      </c>
      <c r="Z11" s="5">
        <v>100.8</v>
      </c>
      <c r="AA11" s="5">
        <v>0</v>
      </c>
      <c r="AB11" s="5">
        <v>100.8</v>
      </c>
      <c r="AC11" s="5">
        <v>0</v>
      </c>
      <c r="AD11" s="5">
        <v>0</v>
      </c>
    </row>
    <row r="12">
      <c r="A12" s="2" t="str">
        <f>HYPERLINK("https://www.avito.ru/pskov/uslugi/priem_provodov._skupka_7869000223","7869000223")</f>
      </c>
      <c r="B12" t="s">
        <v>67</v>
      </c>
      <c r="C12" t="s">
        <v>68</v>
      </c>
      <c r="D12" t="s">
        <v>69</v>
      </c>
      <c r="E12" t="s">
        <v>33</v>
      </c>
      <c r="F12" t="s">
        <v>34</v>
      </c>
      <c r="G12" t="s">
        <v>35</v>
      </c>
      <c r="H12" s="3" t="str">
        <f>HYPERLINK("https://www.avito.ru/pskov/uslugi/priem_provodov._skupka_7869000223","Прием проводов. Скупка")</f>
      </c>
      <c r="I12" t="s">
        <v>70</v>
      </c>
      <c r="J12" t="s">
        <v>71</v>
      </c>
      <c r="K12" t="s">
        <v>72</v>
      </c>
      <c r="L12">
        <v>36</v>
      </c>
      <c r="M12" t="s">
        <v>39</v>
      </c>
      <c r="N12">
        <v>1199</v>
      </c>
      <c r="O12" s="4">
        <v>0.0775</v>
      </c>
      <c r="P12">
        <v>93</v>
      </c>
      <c r="Q12" s="5">
        <v>0.33</v>
      </c>
      <c r="R12" s="4">
        <v>0.0322</v>
      </c>
      <c r="S12">
        <v>3</v>
      </c>
      <c r="T12">
        <v>1</v>
      </c>
      <c r="U12">
        <v>2</v>
      </c>
      <c r="V12">
        <v>0</v>
      </c>
      <c r="W12">
        <v>0</v>
      </c>
      <c r="X12" s="5">
        <v>10.4</v>
      </c>
      <c r="Y12">
        <v>8</v>
      </c>
      <c r="Z12" s="5">
        <v>31.2</v>
      </c>
      <c r="AA12" s="5">
        <v>0</v>
      </c>
      <c r="AB12" s="5">
        <v>31.2</v>
      </c>
      <c r="AC12" s="5">
        <v>0</v>
      </c>
      <c r="AD12" s="5">
        <v>0</v>
      </c>
    </row>
    <row r="13">
      <c r="A13" s="2" t="str">
        <f>HYPERLINK("https://www.avito.ru/sankt-peterburg/uslugi/priem_metalloloma_vyvoz_metalloloma_demontazh_7805824719","7805824719")</f>
      </c>
      <c r="B13" t="s">
        <v>55</v>
      </c>
      <c r="C13" t="s">
        <v>49</v>
      </c>
      <c r="D13" t="s">
        <v>73</v>
      </c>
      <c r="E13" t="s">
        <v>33</v>
      </c>
      <c r="F13" t="s">
        <v>34</v>
      </c>
      <c r="G13" t="s">
        <v>35</v>
      </c>
      <c r="H13" s="3" t="str">
        <f>HYPERLINK("https://www.avito.ru/sankt-peterburg/uslugi/priem_metalloloma_vyvoz_metalloloma_demontazh_7805824719","Прием металлолома / вывоз металлолома / демонтаж")</f>
      </c>
      <c r="I13" t="s">
        <v>74</v>
      </c>
      <c r="J13" t="s">
        <v>53</v>
      </c>
      <c r="K13" t="s">
        <v>54</v>
      </c>
      <c r="L13">
        <v>71</v>
      </c>
      <c r="M13" t="s">
        <v>39</v>
      </c>
      <c r="N13">
        <v>617</v>
      </c>
      <c r="O13" s="4">
        <v>0.115</v>
      </c>
      <c r="P13">
        <v>71</v>
      </c>
      <c r="Q13" s="5">
        <v>221.66</v>
      </c>
      <c r="R13" s="4">
        <v>0.2253</v>
      </c>
      <c r="S13">
        <v>16</v>
      </c>
      <c r="T13">
        <v>6</v>
      </c>
      <c r="U13">
        <v>10</v>
      </c>
      <c r="V13">
        <v>0</v>
      </c>
      <c r="W13">
        <v>0</v>
      </c>
      <c r="X13" s="5">
        <v>983.65</v>
      </c>
      <c r="Y13">
        <v>1</v>
      </c>
      <c r="Z13" s="5">
        <v>15738.4</v>
      </c>
      <c r="AA13" s="5">
        <v>0</v>
      </c>
      <c r="AB13" s="5">
        <v>86.4</v>
      </c>
      <c r="AC13" s="5">
        <v>15652</v>
      </c>
      <c r="AD13" s="5">
        <v>0</v>
      </c>
    </row>
    <row r="14">
      <c r="A14" s="2" t="str">
        <f>HYPERLINK("https://www.avito.ru/velikiy_novgorod/uslugi/priem_plat_i_elektronnogo_loma._skupka_plat_7869768110","7869768110")</f>
      </c>
      <c r="B14" t="s">
        <v>43</v>
      </c>
      <c r="C14" t="s">
        <v>44</v>
      </c>
      <c r="D14" t="s">
        <v>45</v>
      </c>
      <c r="E14" t="s">
        <v>33</v>
      </c>
      <c r="F14" t="s">
        <v>34</v>
      </c>
      <c r="G14" t="s">
        <v>35</v>
      </c>
      <c r="H14" s="3" t="str">
        <f>HYPERLINK("https://www.avito.ru/velikiy_novgorod/uslugi/priem_plat_i_elektronnogo_loma._skupka_plat_7869768110","Прием плат и электронного лома. Скупка плат")</f>
      </c>
      <c r="I14" t="s">
        <v>75</v>
      </c>
      <c r="J14" t="s">
        <v>71</v>
      </c>
      <c r="K14" t="s">
        <v>72</v>
      </c>
      <c r="L14">
        <v>36</v>
      </c>
      <c r="M14" t="s">
        <v>39</v>
      </c>
      <c r="N14">
        <v>828</v>
      </c>
      <c r="O14" s="4">
        <v>0.0785</v>
      </c>
      <c r="P14">
        <v>65</v>
      </c>
      <c r="Q14" s="5">
        <v>0.55</v>
      </c>
      <c r="R14" s="4">
        <v>0.0461</v>
      </c>
      <c r="S14">
        <v>3</v>
      </c>
      <c r="T14">
        <v>2</v>
      </c>
      <c r="U14">
        <v>1</v>
      </c>
      <c r="V14">
        <v>0</v>
      </c>
      <c r="W14">
        <v>0</v>
      </c>
      <c r="X14" s="5">
        <v>12</v>
      </c>
      <c r="Y14">
        <v>12</v>
      </c>
      <c r="Z14" s="5">
        <v>36</v>
      </c>
      <c r="AA14" s="5">
        <v>0</v>
      </c>
      <c r="AB14" s="5">
        <v>36</v>
      </c>
      <c r="AC14" s="5">
        <v>0</v>
      </c>
      <c r="AD14" s="5">
        <v>0</v>
      </c>
    </row>
    <row r="15">
      <c r="A15" s="2" t="str">
        <f>HYPERLINK("https://www.avito.ru/arhangelsk/uslugi/priem_provodov._skupka_7869498610","7869498610")</f>
      </c>
      <c r="B15" t="s">
        <v>30</v>
      </c>
      <c r="C15" t="s">
        <v>31</v>
      </c>
      <c r="D15" t="s">
        <v>32</v>
      </c>
      <c r="E15" t="s">
        <v>33</v>
      </c>
      <c r="F15" t="s">
        <v>34</v>
      </c>
      <c r="G15" t="s">
        <v>35</v>
      </c>
      <c r="H15" s="3" t="str">
        <f>HYPERLINK("https://www.avito.ru/arhangelsk/uslugi/priem_provodov._skupka_7869498610","Прием проводов. Скупка")</f>
      </c>
      <c r="I15" t="s">
        <v>70</v>
      </c>
      <c r="J15" t="s">
        <v>71</v>
      </c>
      <c r="K15" t="s">
        <v>72</v>
      </c>
      <c r="L15">
        <v>36</v>
      </c>
      <c r="M15" t="s">
        <v>39</v>
      </c>
      <c r="N15">
        <v>447</v>
      </c>
      <c r="O15" s="4">
        <v>0.1275</v>
      </c>
      <c r="P15">
        <v>57</v>
      </c>
      <c r="Q15" s="5">
        <v>0.47</v>
      </c>
      <c r="R15" s="4">
        <v>0.035</v>
      </c>
      <c r="S15">
        <v>2</v>
      </c>
      <c r="T15">
        <v>2</v>
      </c>
      <c r="U15">
        <v>0</v>
      </c>
      <c r="V15">
        <v>0</v>
      </c>
      <c r="W15">
        <v>0</v>
      </c>
      <c r="X15" s="5">
        <v>13.5</v>
      </c>
      <c r="Y15">
        <v>4</v>
      </c>
      <c r="Z15" s="5">
        <v>27</v>
      </c>
      <c r="AA15" s="5">
        <v>0</v>
      </c>
      <c r="AB15" s="5">
        <v>27</v>
      </c>
      <c r="AC15" s="5">
        <v>0</v>
      </c>
      <c r="AD15" s="5">
        <v>0</v>
      </c>
    </row>
    <row r="16">
      <c r="A16" s="2" t="str">
        <f>HYPERLINK("https://www.avito.ru/sankt-peterburg/uslugi/priem_i_vyvoz_metalloloma_samovyvoz_loma_demontazh_7837591796","7837591796")</f>
      </c>
      <c r="B16" t="s">
        <v>55</v>
      </c>
      <c r="C16" t="s">
        <v>49</v>
      </c>
      <c r="D16" t="s">
        <v>76</v>
      </c>
      <c r="E16" t="s">
        <v>33</v>
      </c>
      <c r="F16" t="s">
        <v>34</v>
      </c>
      <c r="G16" t="s">
        <v>35</v>
      </c>
      <c r="H16" s="3" t="str">
        <f>HYPERLINK("https://www.avito.ru/sankt-peterburg/uslugi/priem_i_vyvoz_metalloloma_samovyvoz_loma_demontazh_7837591796","Прием и вывоз металлолома самовывоз лома демонтаж")</f>
      </c>
      <c r="I16" t="s">
        <v>77</v>
      </c>
      <c r="J16" t="s">
        <v>78</v>
      </c>
      <c r="K16" t="s">
        <v>38</v>
      </c>
      <c r="L16">
        <v>49</v>
      </c>
      <c r="M16" t="s">
        <v>39</v>
      </c>
      <c r="N16">
        <v>430</v>
      </c>
      <c r="O16" s="4">
        <v>0.1116</v>
      </c>
      <c r="P16">
        <v>48</v>
      </c>
      <c r="Q16" s="5">
        <v>176.72</v>
      </c>
      <c r="R16" s="4">
        <v>0.1458</v>
      </c>
      <c r="S16">
        <v>7</v>
      </c>
      <c r="T16">
        <v>3</v>
      </c>
      <c r="U16">
        <v>2</v>
      </c>
      <c r="V16">
        <v>2</v>
      </c>
      <c r="W16">
        <v>0</v>
      </c>
      <c r="X16" s="5">
        <v>1211.82</v>
      </c>
      <c r="Y16">
        <v>2</v>
      </c>
      <c r="Z16" s="5">
        <v>8482.8</v>
      </c>
      <c r="AA16" s="5">
        <v>0</v>
      </c>
      <c r="AB16" s="5">
        <v>100.8</v>
      </c>
      <c r="AC16" s="5">
        <v>8382</v>
      </c>
      <c r="AD16" s="5">
        <v>0</v>
      </c>
    </row>
    <row r="17">
      <c r="A17" s="2" t="str">
        <f>HYPERLINK("https://www.avito.ru/sankt-peterburg/uslugi/sdat_chermet_priem_vyvoz_metalloloma_7869031021","7869031021")</f>
      </c>
      <c r="B17" t="s">
        <v>55</v>
      </c>
      <c r="C17" t="s">
        <v>49</v>
      </c>
      <c r="D17" t="s">
        <v>79</v>
      </c>
      <c r="E17" t="s">
        <v>33</v>
      </c>
      <c r="F17" t="s">
        <v>34</v>
      </c>
      <c r="G17" t="s">
        <v>35</v>
      </c>
      <c r="H17" s="3" t="str">
        <f>HYPERLINK("https://www.avito.ru/sankt-peterburg/uslugi/sdat_chermet_priem_vyvoz_metalloloma_7869031021","Сдать чермет Прием Вывоз металлолома")</f>
      </c>
      <c r="I17" t="s">
        <v>74</v>
      </c>
      <c r="J17" t="s">
        <v>80</v>
      </c>
      <c r="K17" t="s">
        <v>72</v>
      </c>
      <c r="L17">
        <v>35</v>
      </c>
      <c r="M17" t="s">
        <v>39</v>
      </c>
      <c r="N17">
        <v>575</v>
      </c>
      <c r="O17" s="4">
        <v>0.0817</v>
      </c>
      <c r="P17">
        <v>47</v>
      </c>
      <c r="Q17" s="5">
        <v>191.82</v>
      </c>
      <c r="R17" s="4">
        <v>0.1489</v>
      </c>
      <c r="S17">
        <v>7</v>
      </c>
      <c r="T17">
        <v>4</v>
      </c>
      <c r="U17">
        <v>3</v>
      </c>
      <c r="V17">
        <v>0</v>
      </c>
      <c r="W17">
        <v>0</v>
      </c>
      <c r="X17" s="5">
        <v>1288</v>
      </c>
      <c r="Y17">
        <v>3</v>
      </c>
      <c r="Z17" s="5">
        <v>9016</v>
      </c>
      <c r="AA17" s="5">
        <v>0</v>
      </c>
      <c r="AB17" s="5">
        <v>72</v>
      </c>
      <c r="AC17" s="5">
        <v>8944</v>
      </c>
      <c r="AD17" s="5">
        <v>0</v>
      </c>
    </row>
    <row r="18">
      <c r="A18" s="2" t="str">
        <f>HYPERLINK("https://www.avito.ru/vologda/uslugi/priem_metalloloma_vyvoz_metalloloma_demontazh_7869024487","7869024487")</f>
      </c>
      <c r="B18" t="s">
        <v>40</v>
      </c>
      <c r="C18" t="s">
        <v>81</v>
      </c>
      <c r="D18" t="s">
        <v>82</v>
      </c>
      <c r="E18" t="s">
        <v>33</v>
      </c>
      <c r="F18" t="s">
        <v>34</v>
      </c>
      <c r="G18" t="s">
        <v>35</v>
      </c>
      <c r="H18" s="3" t="str">
        <f>HYPERLINK("https://www.avito.ru/vologda/uslugi/priem_metalloloma_vyvoz_metalloloma_demontazh_7869024487","Прием металлолома / вывоз металлолома / демонтаж")</f>
      </c>
      <c r="I18" t="s">
        <v>57</v>
      </c>
      <c r="J18" t="s">
        <v>71</v>
      </c>
      <c r="K18" t="s">
        <v>72</v>
      </c>
      <c r="L18">
        <v>36</v>
      </c>
      <c r="M18" t="s">
        <v>39</v>
      </c>
      <c r="N18">
        <v>345</v>
      </c>
      <c r="O18" s="4">
        <v>0.1275</v>
      </c>
      <c r="P18">
        <v>44</v>
      </c>
      <c r="Q18" s="5">
        <v>0.81</v>
      </c>
      <c r="R18" s="4">
        <v>0</v>
      </c>
      <c r="S18">
        <v>0</v>
      </c>
      <c r="T18">
        <v>0</v>
      </c>
      <c r="U18">
        <v>0</v>
      </c>
      <c r="V18">
        <v>0</v>
      </c>
      <c r="W18">
        <v>0</v>
      </c>
      <c r="X18" s="5" t="s">
        <v>83</v>
      </c>
      <c r="Y18">
        <v>0</v>
      </c>
      <c r="Z18" s="5">
        <v>36</v>
      </c>
      <c r="AA18" s="5">
        <v>0</v>
      </c>
      <c r="AB18" s="5">
        <v>36</v>
      </c>
      <c r="AC18" s="5">
        <v>0</v>
      </c>
      <c r="AD18" s="5">
        <v>0</v>
      </c>
    </row>
    <row r="19">
      <c r="A19" s="2" t="str">
        <f>HYPERLINK("https://www.avito.ru/sankt-peterburg/uslugi/priem_metalloloma_vyvoz_metalloloma_demontazh_7805087624","7805087624")</f>
      </c>
      <c r="B19" t="s">
        <v>55</v>
      </c>
      <c r="C19" t="s">
        <v>49</v>
      </c>
      <c r="D19" t="s">
        <v>84</v>
      </c>
      <c r="E19" t="s">
        <v>33</v>
      </c>
      <c r="F19" t="s">
        <v>34</v>
      </c>
      <c r="G19" t="s">
        <v>35</v>
      </c>
      <c r="H19" s="3" t="str">
        <f>HYPERLINK("https://www.avito.ru/sankt-peterburg/uslugi/priem_metalloloma_vyvoz_metalloloma_demontazh_7805087624","Прием металлолома / Вывоз металлолома / Демонтаж")</f>
      </c>
      <c r="I19" t="s">
        <v>85</v>
      </c>
      <c r="J19" t="s">
        <v>53</v>
      </c>
      <c r="K19" t="s">
        <v>54</v>
      </c>
      <c r="L19">
        <v>71</v>
      </c>
      <c r="M19" t="s">
        <v>39</v>
      </c>
      <c r="N19">
        <v>414</v>
      </c>
      <c r="O19" s="4">
        <v>0.099</v>
      </c>
      <c r="P19">
        <v>41</v>
      </c>
      <c r="Q19" s="5">
        <v>329.67</v>
      </c>
      <c r="R19" s="4">
        <v>0.1951</v>
      </c>
      <c r="S19">
        <v>8</v>
      </c>
      <c r="T19">
        <v>4</v>
      </c>
      <c r="U19">
        <v>4</v>
      </c>
      <c r="V19">
        <v>0</v>
      </c>
      <c r="W19">
        <v>0</v>
      </c>
      <c r="X19" s="5">
        <v>1689.6</v>
      </c>
      <c r="Y19">
        <v>0</v>
      </c>
      <c r="Z19" s="5">
        <v>13516.8</v>
      </c>
      <c r="AA19" s="5">
        <v>0</v>
      </c>
      <c r="AB19" s="5">
        <v>100.8</v>
      </c>
      <c r="AC19" s="5">
        <v>13416</v>
      </c>
      <c r="AD19" s="5">
        <v>0</v>
      </c>
    </row>
    <row r="20">
      <c r="A20" s="2" t="str">
        <f>HYPERLINK("https://www.avito.ru/petrozavodsk/uslugi/vyvoz_metalloloma_skupka_medi_sdat_med_7837525486","7837525486")</f>
      </c>
      <c r="B20" t="s">
        <v>46</v>
      </c>
      <c r="C20" t="s">
        <v>47</v>
      </c>
      <c r="D20" t="s">
        <v>48</v>
      </c>
      <c r="E20" t="s">
        <v>33</v>
      </c>
      <c r="F20" t="s">
        <v>34</v>
      </c>
      <c r="G20" t="s">
        <v>35</v>
      </c>
      <c r="H20" s="3" t="str">
        <f>HYPERLINK("https://www.avito.ru/petrozavodsk/uslugi/vyvoz_metalloloma_skupka_medi_sdat_med_7837525486","Вывоз металлолома, скупка меди, сдать медь")</f>
      </c>
      <c r="I20" t="s">
        <v>57</v>
      </c>
      <c r="J20" t="s">
        <v>37</v>
      </c>
      <c r="K20" t="s">
        <v>38</v>
      </c>
      <c r="L20">
        <v>44</v>
      </c>
      <c r="M20" t="s">
        <v>39</v>
      </c>
      <c r="N20">
        <v>155</v>
      </c>
      <c r="O20" s="4">
        <v>0.2645</v>
      </c>
      <c r="P20">
        <v>41</v>
      </c>
      <c r="Q20" s="5">
        <v>1.02</v>
      </c>
      <c r="R20" s="4">
        <v>0.0243</v>
      </c>
      <c r="S20">
        <v>1</v>
      </c>
      <c r="T20">
        <v>0</v>
      </c>
      <c r="U20">
        <v>1</v>
      </c>
      <c r="V20">
        <v>0</v>
      </c>
      <c r="W20">
        <v>0</v>
      </c>
      <c r="X20" s="5">
        <v>42</v>
      </c>
      <c r="Y20">
        <v>3</v>
      </c>
      <c r="Z20" s="5">
        <v>42</v>
      </c>
      <c r="AA20" s="5">
        <v>0</v>
      </c>
      <c r="AB20" s="5">
        <v>42</v>
      </c>
      <c r="AC20" s="5">
        <v>0</v>
      </c>
      <c r="AD20" s="5">
        <v>0</v>
      </c>
    </row>
    <row r="21">
      <c r="A21" s="2" t="str">
        <f>HYPERLINK("https://www.avito.ru/sankt-peterburg/uslugi/priem_tsvetnogo_metalla_priem_metalloloma_7836963610","7836963610")</f>
      </c>
      <c r="B21" t="s">
        <v>55</v>
      </c>
      <c r="C21" t="s">
        <v>49</v>
      </c>
      <c r="D21" t="s">
        <v>86</v>
      </c>
      <c r="E21" t="s">
        <v>33</v>
      </c>
      <c r="F21" t="s">
        <v>34</v>
      </c>
      <c r="G21" t="s">
        <v>35</v>
      </c>
      <c r="H21" s="3" t="str">
        <f>HYPERLINK("https://www.avito.ru/sankt-peterburg/uslugi/priem_tsvetnogo_metalla_priem_metalloloma_7836963610","Прием цветного металла Прием металлолома")</f>
      </c>
      <c r="I21" t="s">
        <v>85</v>
      </c>
      <c r="J21" t="s">
        <v>87</v>
      </c>
      <c r="K21" t="s">
        <v>88</v>
      </c>
      <c r="L21">
        <v>43</v>
      </c>
      <c r="M21" t="s">
        <v>39</v>
      </c>
      <c r="N21">
        <v>194</v>
      </c>
      <c r="O21" s="4">
        <v>0.1804</v>
      </c>
      <c r="P21">
        <v>35</v>
      </c>
      <c r="Q21" s="5">
        <v>289.95</v>
      </c>
      <c r="R21" s="4">
        <v>0.1142</v>
      </c>
      <c r="S21">
        <v>4</v>
      </c>
      <c r="T21">
        <v>3</v>
      </c>
      <c r="U21">
        <v>1</v>
      </c>
      <c r="V21">
        <v>0</v>
      </c>
      <c r="W21">
        <v>0</v>
      </c>
      <c r="X21" s="5">
        <v>2537.1</v>
      </c>
      <c r="Y21">
        <v>3</v>
      </c>
      <c r="Z21" s="5">
        <v>10148.4</v>
      </c>
      <c r="AA21" s="5">
        <v>0</v>
      </c>
      <c r="AB21" s="5">
        <v>86.4</v>
      </c>
      <c r="AC21" s="5">
        <v>10062</v>
      </c>
      <c r="AD21" s="5">
        <v>0</v>
      </c>
    </row>
    <row r="22">
      <c r="A22" s="2" t="str">
        <f>HYPERLINK("https://www.avito.ru/vologda/uslugi/priem_plat_i_elektronnogo_loma._skupka_plat_7869904242","7869904242")</f>
      </c>
      <c r="B22" t="s">
        <v>40</v>
      </c>
      <c r="C22" t="s">
        <v>81</v>
      </c>
      <c r="D22" t="s">
        <v>82</v>
      </c>
      <c r="E22" t="s">
        <v>33</v>
      </c>
      <c r="F22" t="s">
        <v>34</v>
      </c>
      <c r="G22" t="s">
        <v>35</v>
      </c>
      <c r="H22" s="3" t="str">
        <f>HYPERLINK("https://www.avito.ru/vologda/uslugi/priem_plat_i_elektronnogo_loma._skupka_plat_7869904242","Прием плат и электронного лома. Скупка плат")</f>
      </c>
      <c r="I22" t="s">
        <v>75</v>
      </c>
      <c r="J22" t="s">
        <v>71</v>
      </c>
      <c r="K22" t="s">
        <v>72</v>
      </c>
      <c r="L22">
        <v>36</v>
      </c>
      <c r="M22" t="s">
        <v>39</v>
      </c>
      <c r="N22">
        <v>248</v>
      </c>
      <c r="O22" s="4">
        <v>0.133</v>
      </c>
      <c r="P22">
        <v>33</v>
      </c>
      <c r="Q22" s="5">
        <v>1.09</v>
      </c>
      <c r="R22" s="4">
        <v>0.0303</v>
      </c>
      <c r="S22">
        <v>1</v>
      </c>
      <c r="T22">
        <v>0</v>
      </c>
      <c r="U22">
        <v>1</v>
      </c>
      <c r="V22">
        <v>0</v>
      </c>
      <c r="W22">
        <v>0</v>
      </c>
      <c r="X22" s="5">
        <v>36</v>
      </c>
      <c r="Y22">
        <v>0</v>
      </c>
      <c r="Z22" s="5">
        <v>36</v>
      </c>
      <c r="AA22" s="5">
        <v>0</v>
      </c>
      <c r="AB22" s="5">
        <v>36</v>
      </c>
      <c r="AC22" s="5">
        <v>0</v>
      </c>
      <c r="AD22" s="5">
        <v>0</v>
      </c>
    </row>
    <row r="23">
      <c r="A23" s="2" t="str">
        <f>HYPERLINK("https://www.avito.ru/sankt-peterburg_pushkin/uslugi/priem_metalloloma_vyvoz_metalloloma_demontazh_7805515572","7805515572")</f>
      </c>
      <c r="B23" t="s">
        <v>49</v>
      </c>
      <c r="C23" t="s">
        <v>89</v>
      </c>
      <c r="D23" t="s">
        <v>90</v>
      </c>
      <c r="E23" t="s">
        <v>33</v>
      </c>
      <c r="F23" t="s">
        <v>34</v>
      </c>
      <c r="G23" t="s">
        <v>35</v>
      </c>
      <c r="H23" s="3" t="str">
        <f>HYPERLINK("https://www.avito.ru/sankt-peterburg_pushkin/uslugi/priem_metalloloma_vyvoz_metalloloma_demontazh_7805515572","Прием металлолома / вывоз металлолома / демонтаж")</f>
      </c>
      <c r="I23" t="s">
        <v>91</v>
      </c>
      <c r="J23" t="s">
        <v>53</v>
      </c>
      <c r="K23" t="s">
        <v>54</v>
      </c>
      <c r="L23">
        <v>71</v>
      </c>
      <c r="M23" t="s">
        <v>39</v>
      </c>
      <c r="N23">
        <v>200</v>
      </c>
      <c r="O23" s="4">
        <v>0.16</v>
      </c>
      <c r="P23">
        <v>32</v>
      </c>
      <c r="Q23" s="5">
        <v>352.49</v>
      </c>
      <c r="R23" s="4">
        <v>0.125</v>
      </c>
      <c r="S23">
        <v>4</v>
      </c>
      <c r="T23">
        <v>4</v>
      </c>
      <c r="U23">
        <v>0</v>
      </c>
      <c r="V23">
        <v>0</v>
      </c>
      <c r="W23">
        <v>0</v>
      </c>
      <c r="X23" s="5">
        <v>2819.95</v>
      </c>
      <c r="Y23">
        <v>1</v>
      </c>
      <c r="Z23" s="5">
        <v>11279.8</v>
      </c>
      <c r="AA23" s="5">
        <v>0</v>
      </c>
      <c r="AB23" s="5">
        <v>100.8</v>
      </c>
      <c r="AC23" s="5">
        <v>11179</v>
      </c>
      <c r="AD23" s="5">
        <v>0</v>
      </c>
    </row>
    <row r="24">
      <c r="A24" s="2" t="str">
        <f>HYPERLINK("https://www.avito.ru/sankt-peterburg/uslugi/priem_i_vyvoz_metalloloma_samovyvoz_loma_7805547972","7805547972")</f>
      </c>
      <c r="B24" t="s">
        <v>55</v>
      </c>
      <c r="C24" t="s">
        <v>49</v>
      </c>
      <c r="D24" t="s">
        <v>92</v>
      </c>
      <c r="E24" t="s">
        <v>33</v>
      </c>
      <c r="F24" t="s">
        <v>34</v>
      </c>
      <c r="G24" t="s">
        <v>35</v>
      </c>
      <c r="H24" s="3" t="str">
        <f>HYPERLINK("https://www.avito.ru/sankt-peterburg/uslugi/priem_i_vyvoz_metalloloma_samovyvoz_loma_7805547972","Прием и вывоз металлолома / Самовывоз лома")</f>
      </c>
      <c r="I24" t="s">
        <v>93</v>
      </c>
      <c r="J24" t="s">
        <v>94</v>
      </c>
      <c r="K24" t="s">
        <v>88</v>
      </c>
      <c r="L24">
        <v>72</v>
      </c>
      <c r="M24" t="s">
        <v>39</v>
      </c>
      <c r="N24">
        <v>331</v>
      </c>
      <c r="O24" s="4">
        <v>0.0936</v>
      </c>
      <c r="P24">
        <v>31</v>
      </c>
      <c r="Q24" s="5">
        <v>219.63</v>
      </c>
      <c r="R24" s="4">
        <v>0.0967</v>
      </c>
      <c r="S24">
        <v>3</v>
      </c>
      <c r="T24">
        <v>1</v>
      </c>
      <c r="U24">
        <v>1</v>
      </c>
      <c r="V24">
        <v>1</v>
      </c>
      <c r="W24">
        <v>0</v>
      </c>
      <c r="X24" s="5">
        <v>2269.6</v>
      </c>
      <c r="Y24">
        <v>0</v>
      </c>
      <c r="Z24" s="5">
        <v>6808.8</v>
      </c>
      <c r="AA24" s="5">
        <v>0</v>
      </c>
      <c r="AB24" s="5">
        <v>100.8</v>
      </c>
      <c r="AC24" s="5">
        <v>6708</v>
      </c>
      <c r="AD24" s="5">
        <v>0</v>
      </c>
    </row>
    <row r="25">
      <c r="A25" s="2" t="str">
        <f>HYPERLINK("https://www.avito.ru/sankt-peterburg/uslugi/priem_plat_i_elektronnogo_loma._skupka_plat_7805679386","7805679386")</f>
      </c>
      <c r="B25" t="s">
        <v>55</v>
      </c>
      <c r="C25" t="s">
        <v>49</v>
      </c>
      <c r="D25" t="s">
        <v>95</v>
      </c>
      <c r="E25" t="s">
        <v>33</v>
      </c>
      <c r="F25" t="s">
        <v>34</v>
      </c>
      <c r="G25" t="s">
        <v>35</v>
      </c>
      <c r="H25" s="3" t="str">
        <f>HYPERLINK("https://www.avito.ru/sankt-peterburg/uslugi/priem_plat_i_elektronnogo_loma._skupka_plat_7805679386","Прием плат и электронного лома. Скупка плат")</f>
      </c>
      <c r="I25" t="s">
        <v>36</v>
      </c>
      <c r="J25" t="s">
        <v>53</v>
      </c>
      <c r="K25" t="s">
        <v>54</v>
      </c>
      <c r="L25">
        <v>71</v>
      </c>
      <c r="M25" t="s">
        <v>39</v>
      </c>
      <c r="N25">
        <v>95</v>
      </c>
      <c r="O25" s="4">
        <v>0.3157</v>
      </c>
      <c r="P25">
        <v>30</v>
      </c>
      <c r="Q25" s="5">
        <v>3.36</v>
      </c>
      <c r="R25" s="4">
        <v>0.0333</v>
      </c>
      <c r="S25">
        <v>1</v>
      </c>
      <c r="T25">
        <v>1</v>
      </c>
      <c r="U25">
        <v>0</v>
      </c>
      <c r="V25">
        <v>0</v>
      </c>
      <c r="W25">
        <v>0</v>
      </c>
      <c r="X25" s="5">
        <v>100.8</v>
      </c>
      <c r="Y25">
        <v>1</v>
      </c>
      <c r="Z25" s="5">
        <v>100.8</v>
      </c>
      <c r="AA25" s="5">
        <v>0</v>
      </c>
      <c r="AB25" s="5">
        <v>100.8</v>
      </c>
      <c r="AC25" s="5">
        <v>0</v>
      </c>
      <c r="AD25" s="5">
        <v>0</v>
      </c>
    </row>
    <row r="26">
      <c r="A26" s="2" t="str">
        <f>HYPERLINK("https://www.avito.ru/sankt-peterburg/uslugi/vyvoz_metalloloma_priem_metalloloma_demontazh_7837394301","7837394301")</f>
      </c>
      <c r="B26" t="s">
        <v>55</v>
      </c>
      <c r="C26" t="s">
        <v>49</v>
      </c>
      <c r="D26" t="s">
        <v>73</v>
      </c>
      <c r="E26" t="s">
        <v>33</v>
      </c>
      <c r="F26" t="s">
        <v>34</v>
      </c>
      <c r="G26" t="s">
        <v>96</v>
      </c>
      <c r="H26" s="3" t="str">
        <f>HYPERLINK("https://www.avito.ru/sankt-peterburg/uslugi/vyvoz_metalloloma_priem_metalloloma_demontazh_7837394301","Вывоз металлолома / Прием металлолома / демонтаж")</f>
      </c>
      <c r="I26" t="s">
        <v>74</v>
      </c>
      <c r="J26" t="s">
        <v>60</v>
      </c>
      <c r="K26" t="s">
        <v>66</v>
      </c>
      <c r="L26">
        <v>45</v>
      </c>
      <c r="M26" t="s">
        <v>39</v>
      </c>
      <c r="N26">
        <v>166</v>
      </c>
      <c r="O26" s="4">
        <v>0.1325</v>
      </c>
      <c r="P26">
        <v>22</v>
      </c>
      <c r="Q26" s="5">
        <v>614.4</v>
      </c>
      <c r="R26" s="4">
        <v>0.3636</v>
      </c>
      <c r="S26">
        <v>8</v>
      </c>
      <c r="T26">
        <v>2</v>
      </c>
      <c r="U26">
        <v>5</v>
      </c>
      <c r="V26">
        <v>1</v>
      </c>
      <c r="W26">
        <v>0</v>
      </c>
      <c r="X26" s="5">
        <v>1689.6</v>
      </c>
      <c r="Y26">
        <v>1</v>
      </c>
      <c r="Z26" s="5">
        <v>13516.8</v>
      </c>
      <c r="AA26" s="5">
        <v>0</v>
      </c>
      <c r="AB26" s="5">
        <v>100.8</v>
      </c>
      <c r="AC26" s="5">
        <v>13416</v>
      </c>
      <c r="AD26" s="5">
        <v>0</v>
      </c>
    </row>
    <row r="27">
      <c r="A27" s="2" t="str">
        <f>HYPERLINK("https://www.avito.ru/petrozavodsk/uslugi/priem_metalloloma_vyvoz_metalloloma_demontazh_7837705504","7837705504")</f>
      </c>
      <c r="B27" t="s">
        <v>46</v>
      </c>
      <c r="C27" t="s">
        <v>47</v>
      </c>
      <c r="D27" t="s">
        <v>48</v>
      </c>
      <c r="E27" t="s">
        <v>33</v>
      </c>
      <c r="F27" t="s">
        <v>34</v>
      </c>
      <c r="G27" t="s">
        <v>35</v>
      </c>
      <c r="H27" s="3" t="str">
        <f>HYPERLINK("https://www.avito.ru/petrozavodsk/uslugi/priem_metalloloma_vyvoz_metalloloma_demontazh_7837705504","Прием металлолома / вывоз металлолома / демонтаж")</f>
      </c>
      <c r="I27" t="s">
        <v>57</v>
      </c>
      <c r="J27" t="s">
        <v>37</v>
      </c>
      <c r="K27" t="s">
        <v>38</v>
      </c>
      <c r="L27">
        <v>44</v>
      </c>
      <c r="M27" t="s">
        <v>39</v>
      </c>
      <c r="N27">
        <v>171</v>
      </c>
      <c r="O27" s="4">
        <v>0.1286</v>
      </c>
      <c r="P27">
        <v>22</v>
      </c>
      <c r="Q27" s="5">
        <v>1.9</v>
      </c>
      <c r="R27" s="4">
        <v>0.0909</v>
      </c>
      <c r="S27">
        <v>2</v>
      </c>
      <c r="T27">
        <v>2</v>
      </c>
      <c r="U27">
        <v>0</v>
      </c>
      <c r="V27">
        <v>0</v>
      </c>
      <c r="W27">
        <v>0</v>
      </c>
      <c r="X27" s="5">
        <v>21</v>
      </c>
      <c r="Y27">
        <v>0</v>
      </c>
      <c r="Z27" s="5">
        <v>42</v>
      </c>
      <c r="AA27" s="5">
        <v>0</v>
      </c>
      <c r="AB27" s="5">
        <v>42</v>
      </c>
      <c r="AC27" s="5">
        <v>0</v>
      </c>
      <c r="AD27" s="5">
        <v>0</v>
      </c>
    </row>
    <row r="28">
      <c r="A28" s="2" t="str">
        <f>HYPERLINK("https://www.avito.ru/sankt-peterburg/uslugi/sdat_chermet_priem_vyvoz_metalloloma_7868969238","7868969238")</f>
      </c>
      <c r="B28" t="s">
        <v>55</v>
      </c>
      <c r="C28" t="s">
        <v>49</v>
      </c>
      <c r="D28" t="s">
        <v>97</v>
      </c>
      <c r="E28" t="s">
        <v>33</v>
      </c>
      <c r="F28" t="s">
        <v>34</v>
      </c>
      <c r="G28" t="s">
        <v>35</v>
      </c>
      <c r="H28" s="3" t="str">
        <f>HYPERLINK("https://www.avito.ru/sankt-peterburg/uslugi/sdat_chermet_priem_vyvoz_metalloloma_7868969238","Сдать чермет Прием Вывоз металлолома")</f>
      </c>
      <c r="I28" t="s">
        <v>74</v>
      </c>
      <c r="J28" t="s">
        <v>80</v>
      </c>
      <c r="K28" t="s">
        <v>72</v>
      </c>
      <c r="L28">
        <v>35</v>
      </c>
      <c r="M28" t="s">
        <v>39</v>
      </c>
      <c r="N28">
        <v>154</v>
      </c>
      <c r="O28" s="4">
        <v>0.1363</v>
      </c>
      <c r="P28">
        <v>21</v>
      </c>
      <c r="Q28" s="5">
        <v>203</v>
      </c>
      <c r="R28" s="4">
        <v>0</v>
      </c>
      <c r="S28">
        <v>0</v>
      </c>
      <c r="T28">
        <v>0</v>
      </c>
      <c r="U28">
        <v>0</v>
      </c>
      <c r="V28">
        <v>0</v>
      </c>
      <c r="W28">
        <v>0</v>
      </c>
      <c r="X28" s="5" t="s">
        <v>83</v>
      </c>
      <c r="Y28">
        <v>1</v>
      </c>
      <c r="Z28" s="5">
        <v>4263</v>
      </c>
      <c r="AA28" s="5">
        <v>0</v>
      </c>
      <c r="AB28" s="5">
        <v>72</v>
      </c>
      <c r="AC28" s="5">
        <v>4191</v>
      </c>
      <c r="AD28" s="5">
        <v>0</v>
      </c>
    </row>
    <row r="29">
      <c r="A29" s="2" t="str">
        <f>HYPERLINK("https://www.avito.ru/sankt-peterburg_kolpino/uslugi/priem_plat_i_elektronnogo_loma._skupka_plat_7805027133","7805027133")</f>
      </c>
      <c r="B29" t="s">
        <v>49</v>
      </c>
      <c r="C29" t="s">
        <v>50</v>
      </c>
      <c r="D29" t="s">
        <v>51</v>
      </c>
      <c r="E29" t="s">
        <v>33</v>
      </c>
      <c r="F29" t="s">
        <v>34</v>
      </c>
      <c r="G29" t="s">
        <v>35</v>
      </c>
      <c r="H29" s="3" t="str">
        <f>HYPERLINK("https://www.avito.ru/sankt-peterburg_kolpino/uslugi/priem_plat_i_elektronnogo_loma._skupka_plat_7805027133","Прием плат и электронного лома. Скупка плат")</f>
      </c>
      <c r="I29" t="s">
        <v>75</v>
      </c>
      <c r="J29" t="s">
        <v>53</v>
      </c>
      <c r="K29" t="s">
        <v>54</v>
      </c>
      <c r="L29">
        <v>71</v>
      </c>
      <c r="M29" t="s">
        <v>39</v>
      </c>
      <c r="N29">
        <v>79</v>
      </c>
      <c r="O29" s="4">
        <v>0.2151</v>
      </c>
      <c r="P29">
        <v>17</v>
      </c>
      <c r="Q29" s="5">
        <v>5.08</v>
      </c>
      <c r="R29" s="4">
        <v>0.1176</v>
      </c>
      <c r="S29">
        <v>2</v>
      </c>
      <c r="T29">
        <v>1</v>
      </c>
      <c r="U29">
        <v>1</v>
      </c>
      <c r="V29">
        <v>0</v>
      </c>
      <c r="W29">
        <v>0</v>
      </c>
      <c r="X29" s="5">
        <v>43.2</v>
      </c>
      <c r="Y29">
        <v>1</v>
      </c>
      <c r="Z29" s="5">
        <v>86.4</v>
      </c>
      <c r="AA29" s="5">
        <v>0</v>
      </c>
      <c r="AB29" s="5">
        <v>86.4</v>
      </c>
      <c r="AC29" s="5">
        <v>0</v>
      </c>
      <c r="AD29" s="5">
        <v>0</v>
      </c>
    </row>
    <row r="30">
      <c r="A30" s="2" t="str">
        <f>HYPERLINK("https://www.avito.ru/sankt-peterburg/uslugi/priem_kabelya_skupka_kabelya_priem_provodov_7805484457","7805484457")</f>
      </c>
      <c r="B30" t="s">
        <v>55</v>
      </c>
      <c r="C30" t="s">
        <v>49</v>
      </c>
      <c r="D30" t="s">
        <v>98</v>
      </c>
      <c r="E30" t="s">
        <v>33</v>
      </c>
      <c r="F30" t="s">
        <v>34</v>
      </c>
      <c r="G30" t="s">
        <v>35</v>
      </c>
      <c r="H30" s="3" t="str">
        <f>HYPERLINK("https://www.avito.ru/sankt-peterburg/uslugi/priem_kabelya_skupka_kabelya_priem_provodov_7805484457","Прием кабеля / Скупка кабеля / Прием проводов")</f>
      </c>
      <c r="I30" t="s">
        <v>99</v>
      </c>
      <c r="J30" t="s">
        <v>53</v>
      </c>
      <c r="K30" t="s">
        <v>54</v>
      </c>
      <c r="L30">
        <v>71</v>
      </c>
      <c r="M30" t="s">
        <v>39</v>
      </c>
      <c r="N30">
        <v>42</v>
      </c>
      <c r="O30" s="4">
        <v>0.4047</v>
      </c>
      <c r="P30">
        <v>17</v>
      </c>
      <c r="Q30" s="5">
        <v>5.08</v>
      </c>
      <c r="R30" s="4">
        <v>0.0588</v>
      </c>
      <c r="S30">
        <v>1</v>
      </c>
      <c r="T30">
        <v>1</v>
      </c>
      <c r="U30">
        <v>0</v>
      </c>
      <c r="V30">
        <v>0</v>
      </c>
      <c r="W30">
        <v>0</v>
      </c>
      <c r="X30" s="5">
        <v>86.4</v>
      </c>
      <c r="Y30">
        <v>0</v>
      </c>
      <c r="Z30" s="5">
        <v>86.4</v>
      </c>
      <c r="AA30" s="5">
        <v>0</v>
      </c>
      <c r="AB30" s="5">
        <v>86.4</v>
      </c>
      <c r="AC30" s="5">
        <v>0</v>
      </c>
      <c r="AD30" s="5">
        <v>0</v>
      </c>
    </row>
    <row r="31">
      <c r="A31" s="2" t="str">
        <f>HYPERLINK("https://www.avito.ru/pskov/uslugi/skupka_i_vyvoz_metalloloma_s_demontazhem_7804999460","7804999460")</f>
      </c>
      <c r="B31" t="s">
        <v>67</v>
      </c>
      <c r="C31" t="s">
        <v>68</v>
      </c>
      <c r="D31" t="s">
        <v>69</v>
      </c>
      <c r="E31" t="s">
        <v>33</v>
      </c>
      <c r="F31" t="s">
        <v>34</v>
      </c>
      <c r="G31" t="s">
        <v>35</v>
      </c>
      <c r="H31" s="3" t="str">
        <f>HYPERLINK("https://www.avito.ru/pskov/uslugi/skupka_i_vyvoz_metalloloma_s_demontazhem_7804999460","Скупка и вывоз металлолома с демонтажем")</f>
      </c>
      <c r="I31" t="s">
        <v>100</v>
      </c>
      <c r="J31" t="s">
        <v>53</v>
      </c>
      <c r="K31" t="s">
        <v>54</v>
      </c>
      <c r="L31">
        <v>71</v>
      </c>
      <c r="M31" t="s">
        <v>39</v>
      </c>
      <c r="N31">
        <v>73</v>
      </c>
      <c r="O31" s="4">
        <v>0.2191</v>
      </c>
      <c r="P31">
        <v>16</v>
      </c>
      <c r="Q31" s="5">
        <v>3.41</v>
      </c>
      <c r="R31" s="4">
        <v>0.1875</v>
      </c>
      <c r="S31">
        <v>3</v>
      </c>
      <c r="T31">
        <v>1</v>
      </c>
      <c r="U31">
        <v>2</v>
      </c>
      <c r="V31">
        <v>0</v>
      </c>
      <c r="W31">
        <v>0</v>
      </c>
      <c r="X31" s="5">
        <v>18.2</v>
      </c>
      <c r="Y31">
        <v>2</v>
      </c>
      <c r="Z31" s="5">
        <v>54.6</v>
      </c>
      <c r="AA31" s="5">
        <v>0</v>
      </c>
      <c r="AB31" s="5">
        <v>54.6</v>
      </c>
      <c r="AC31" s="5">
        <v>0</v>
      </c>
      <c r="AD31" s="5">
        <v>0</v>
      </c>
    </row>
    <row r="32">
      <c r="A32" s="2" t="str">
        <f>HYPERLINK("https://www.avito.ru/pskov/uslugi/priem_tsvetnogo_metalloloma_7869666146","7869666146")</f>
      </c>
      <c r="B32" t="s">
        <v>67</v>
      </c>
      <c r="C32" t="s">
        <v>68</v>
      </c>
      <c r="D32" t="s">
        <v>69</v>
      </c>
      <c r="E32" t="s">
        <v>33</v>
      </c>
      <c r="F32" t="s">
        <v>34</v>
      </c>
      <c r="G32" t="s">
        <v>35</v>
      </c>
      <c r="H32" s="3" t="str">
        <f>HYPERLINK("https://www.avito.ru/pskov/uslugi/priem_tsvetnogo_metalloloma_7869666146","Прием цветного металлолома")</f>
      </c>
      <c r="I32" t="s">
        <v>101</v>
      </c>
      <c r="J32" t="s">
        <v>71</v>
      </c>
      <c r="K32" t="s">
        <v>72</v>
      </c>
      <c r="L32">
        <v>36</v>
      </c>
      <c r="M32" t="s">
        <v>39</v>
      </c>
      <c r="N32">
        <v>90</v>
      </c>
      <c r="O32" s="4">
        <v>0.1666</v>
      </c>
      <c r="P32">
        <v>15</v>
      </c>
      <c r="Q32" s="5">
        <v>2.6</v>
      </c>
      <c r="R32" s="4">
        <v>0</v>
      </c>
      <c r="S32">
        <v>0</v>
      </c>
      <c r="T32">
        <v>0</v>
      </c>
      <c r="U32">
        <v>0</v>
      </c>
      <c r="V32">
        <v>0</v>
      </c>
      <c r="W32">
        <v>0</v>
      </c>
      <c r="X32" s="5" t="s">
        <v>83</v>
      </c>
      <c r="Y32">
        <v>0</v>
      </c>
      <c r="Z32" s="5">
        <v>39</v>
      </c>
      <c r="AA32" s="5">
        <v>0</v>
      </c>
      <c r="AB32" s="5">
        <v>39</v>
      </c>
      <c r="AC32" s="5">
        <v>0</v>
      </c>
      <c r="AD32" s="5">
        <v>0</v>
      </c>
    </row>
    <row r="33">
      <c r="A33" s="2" t="str">
        <f>HYPERLINK("https://www.avito.ru/sankt-peterburg_pushkin/uslugi/priem_bu_akkumulyatorov_akb_7805155781","7805155781")</f>
      </c>
      <c r="B33" t="s">
        <v>49</v>
      </c>
      <c r="C33" t="s">
        <v>89</v>
      </c>
      <c r="D33" t="s">
        <v>90</v>
      </c>
      <c r="E33" t="s">
        <v>33</v>
      </c>
      <c r="F33" t="s">
        <v>34</v>
      </c>
      <c r="G33" t="s">
        <v>35</v>
      </c>
      <c r="H33" s="3" t="str">
        <f>HYPERLINK("https://www.avito.ru/sankt-peterburg_pushkin/uslugi/priem_bu_akkumulyatorov_akb_7805155781","Прием бу аккумуляторов АКБ")</f>
      </c>
      <c r="I33" t="s">
        <v>102</v>
      </c>
      <c r="J33" t="s">
        <v>53</v>
      </c>
      <c r="K33" t="s">
        <v>54</v>
      </c>
      <c r="L33">
        <v>71</v>
      </c>
      <c r="M33" t="s">
        <v>39</v>
      </c>
      <c r="N33">
        <v>41</v>
      </c>
      <c r="O33" s="4">
        <v>0.3414</v>
      </c>
      <c r="P33">
        <v>14</v>
      </c>
      <c r="Q33" s="5">
        <v>7.2</v>
      </c>
      <c r="R33" s="4">
        <v>0.1428</v>
      </c>
      <c r="S33">
        <v>2</v>
      </c>
      <c r="T33">
        <v>0</v>
      </c>
      <c r="U33">
        <v>2</v>
      </c>
      <c r="V33">
        <v>0</v>
      </c>
      <c r="W33">
        <v>0</v>
      </c>
      <c r="X33" s="5">
        <v>50.4</v>
      </c>
      <c r="Y33">
        <v>1</v>
      </c>
      <c r="Z33" s="5">
        <v>100.8</v>
      </c>
      <c r="AA33" s="5">
        <v>0</v>
      </c>
      <c r="AB33" s="5">
        <v>100.8</v>
      </c>
      <c r="AC33" s="5">
        <v>0</v>
      </c>
      <c r="AD33" s="5">
        <v>0</v>
      </c>
    </row>
    <row r="34">
      <c r="A34" s="2" t="str">
        <f>HYPERLINK("https://www.avito.ru/sankt-peterburg_kronstadt/uslugi/skupka_radiodetaley_plat_priborov_7805163608","7805163608")</f>
      </c>
      <c r="B34" t="s">
        <v>49</v>
      </c>
      <c r="C34" t="s">
        <v>103</v>
      </c>
      <c r="D34" t="s">
        <v>104</v>
      </c>
      <c r="E34" t="s">
        <v>33</v>
      </c>
      <c r="F34" t="s">
        <v>34</v>
      </c>
      <c r="G34" t="s">
        <v>35</v>
      </c>
      <c r="H34" s="3" t="str">
        <f>HYPERLINK("https://www.avito.ru/sankt-peterburg_kronstadt/uslugi/skupka_radiodetaley_plat_priborov_7805163608","Скупка радиодеталей / плат / приборов")</f>
      </c>
      <c r="I34" t="s">
        <v>105</v>
      </c>
      <c r="J34" t="s">
        <v>53</v>
      </c>
      <c r="K34" t="s">
        <v>54</v>
      </c>
      <c r="L34">
        <v>71</v>
      </c>
      <c r="M34" t="s">
        <v>39</v>
      </c>
      <c r="N34">
        <v>94</v>
      </c>
      <c r="O34" s="4">
        <v>0.1489</v>
      </c>
      <c r="P34">
        <v>14</v>
      </c>
      <c r="Q34" s="5">
        <v>7.2</v>
      </c>
      <c r="R34" s="4">
        <v>0.1428</v>
      </c>
      <c r="S34">
        <v>2</v>
      </c>
      <c r="T34">
        <v>2</v>
      </c>
      <c r="U34">
        <v>0</v>
      </c>
      <c r="V34">
        <v>0</v>
      </c>
      <c r="W34">
        <v>0</v>
      </c>
      <c r="X34" s="5">
        <v>50.4</v>
      </c>
      <c r="Y34">
        <v>1</v>
      </c>
      <c r="Z34" s="5">
        <v>100.8</v>
      </c>
      <c r="AA34" s="5">
        <v>0</v>
      </c>
      <c r="AB34" s="5">
        <v>100.8</v>
      </c>
      <c r="AC34" s="5">
        <v>0</v>
      </c>
      <c r="AD34" s="5">
        <v>0</v>
      </c>
    </row>
    <row r="35">
      <c r="A35" s="2" t="str">
        <f>HYPERLINK("https://www.avito.ru/cherepovets/uslugi/priem_plat_i_elektronnogo_loma._skupka_plat_7869429952","7869429952")</f>
      </c>
      <c r="B35" t="s">
        <v>40</v>
      </c>
      <c r="C35" t="s">
        <v>41</v>
      </c>
      <c r="D35" t="s">
        <v>42</v>
      </c>
      <c r="E35" t="s">
        <v>33</v>
      </c>
      <c r="F35" t="s">
        <v>34</v>
      </c>
      <c r="G35" t="s">
        <v>35</v>
      </c>
      <c r="H35" s="3" t="str">
        <f>HYPERLINK("https://www.avito.ru/cherepovets/uslugi/priem_plat_i_elektronnogo_loma._skupka_plat_7869429952","Прием плат и электронного лома. Скупка плат")</f>
      </c>
      <c r="I35" t="s">
        <v>75</v>
      </c>
      <c r="J35" t="s">
        <v>71</v>
      </c>
      <c r="K35" t="s">
        <v>72</v>
      </c>
      <c r="L35">
        <v>36</v>
      </c>
      <c r="M35" t="s">
        <v>39</v>
      </c>
      <c r="N35">
        <v>151</v>
      </c>
      <c r="O35" s="4">
        <v>0.0927</v>
      </c>
      <c r="P35">
        <v>14</v>
      </c>
      <c r="Q35" s="5">
        <v>1.71</v>
      </c>
      <c r="R35" s="4">
        <v>0.0714</v>
      </c>
      <c r="S35">
        <v>1</v>
      </c>
      <c r="T35">
        <v>0</v>
      </c>
      <c r="U35">
        <v>1</v>
      </c>
      <c r="V35">
        <v>0</v>
      </c>
      <c r="W35">
        <v>0</v>
      </c>
      <c r="X35" s="5">
        <v>24</v>
      </c>
      <c r="Y35">
        <v>1</v>
      </c>
      <c r="Z35" s="5">
        <v>24</v>
      </c>
      <c r="AA35" s="5">
        <v>0</v>
      </c>
      <c r="AB35" s="5">
        <v>24</v>
      </c>
      <c r="AC35" s="5">
        <v>0</v>
      </c>
      <c r="AD35" s="5">
        <v>0</v>
      </c>
    </row>
    <row r="36">
      <c r="A36" s="2" t="str">
        <f>HYPERLINK("https://www.avito.ru/arhangelsk/uslugi/priem_metalloloma_vyvoz_metalloloma_demontazh_7837181998","7837181998")</f>
      </c>
      <c r="B36" t="s">
        <v>30</v>
      </c>
      <c r="C36" t="s">
        <v>31</v>
      </c>
      <c r="D36" t="s">
        <v>32</v>
      </c>
      <c r="E36" t="s">
        <v>33</v>
      </c>
      <c r="F36" t="s">
        <v>34</v>
      </c>
      <c r="G36" t="s">
        <v>35</v>
      </c>
      <c r="H36" s="3" t="str">
        <f>HYPERLINK("https://www.avito.ru/arhangelsk/uslugi/priem_metalloloma_vyvoz_metalloloma_demontazh_7837181998","Прием металлолома / вывоз металлолома / демонтаж")</f>
      </c>
      <c r="I36" t="s">
        <v>57</v>
      </c>
      <c r="J36" t="s">
        <v>37</v>
      </c>
      <c r="K36" t="s">
        <v>38</v>
      </c>
      <c r="L36">
        <v>44</v>
      </c>
      <c r="M36" t="s">
        <v>39</v>
      </c>
      <c r="N36">
        <v>85</v>
      </c>
      <c r="O36" s="4">
        <v>0.1529</v>
      </c>
      <c r="P36">
        <v>13</v>
      </c>
      <c r="Q36" s="5">
        <v>2.9</v>
      </c>
      <c r="R36" s="4">
        <v>0</v>
      </c>
      <c r="S36">
        <v>0</v>
      </c>
      <c r="T36">
        <v>0</v>
      </c>
      <c r="U36">
        <v>0</v>
      </c>
      <c r="V36">
        <v>0</v>
      </c>
      <c r="W36">
        <v>0</v>
      </c>
      <c r="X36" s="5" t="s">
        <v>83</v>
      </c>
      <c r="Y36">
        <v>1</v>
      </c>
      <c r="Z36" s="5">
        <v>37.8</v>
      </c>
      <c r="AA36" s="5">
        <v>0</v>
      </c>
      <c r="AB36" s="5">
        <v>37.8</v>
      </c>
      <c r="AC36" s="5">
        <v>0</v>
      </c>
      <c r="AD36" s="5">
        <v>0</v>
      </c>
    </row>
    <row r="37">
      <c r="A37" s="2" t="str">
        <f>HYPERLINK("https://www.avito.ru/sankt-peterburg_sestroretsk/uslugi/priem_i_vyvoz_metalloloma_spb_i_lo_7805597777","7805597777")</f>
      </c>
      <c r="B37" t="s">
        <v>49</v>
      </c>
      <c r="C37" t="s">
        <v>106</v>
      </c>
      <c r="D37" t="s">
        <v>107</v>
      </c>
      <c r="E37" t="s">
        <v>33</v>
      </c>
      <c r="F37" t="s">
        <v>34</v>
      </c>
      <c r="G37" t="s">
        <v>35</v>
      </c>
      <c r="H37" s="3" t="str">
        <f>HYPERLINK("https://www.avito.ru/sankt-peterburg_sestroretsk/uslugi/priem_i_vyvoz_metalloloma_spb_i_lo_7805597777","Прием и вывоз металлолома СПБ и ло")</f>
      </c>
      <c r="I37" t="s">
        <v>93</v>
      </c>
      <c r="J37" t="s">
        <v>53</v>
      </c>
      <c r="K37" t="s">
        <v>108</v>
      </c>
      <c r="L37">
        <v>71</v>
      </c>
      <c r="M37" t="s">
        <v>39</v>
      </c>
      <c r="N37">
        <v>73</v>
      </c>
      <c r="O37" s="4">
        <v>0.1643</v>
      </c>
      <c r="P37">
        <v>12</v>
      </c>
      <c r="Q37" s="5">
        <v>589.28</v>
      </c>
      <c r="R37" s="4">
        <v>0.1666</v>
      </c>
      <c r="S37">
        <v>2</v>
      </c>
      <c r="T37">
        <v>1</v>
      </c>
      <c r="U37">
        <v>1</v>
      </c>
      <c r="V37">
        <v>0</v>
      </c>
      <c r="W37">
        <v>0</v>
      </c>
      <c r="X37" s="5">
        <v>3535.7</v>
      </c>
      <c r="Y37">
        <v>0</v>
      </c>
      <c r="Z37" s="5">
        <v>7071.4</v>
      </c>
      <c r="AA37" s="5">
        <v>0</v>
      </c>
      <c r="AB37" s="5">
        <v>86.4</v>
      </c>
      <c r="AC37" s="5">
        <v>6985</v>
      </c>
      <c r="AD37" s="5">
        <v>0</v>
      </c>
    </row>
    <row r="38">
      <c r="A38" s="2" t="str">
        <f>HYPERLINK("https://www.avito.ru/sankt-peterburg_kolpino/uslugi/priem_i_vyvoz_metalloloma_7805003741","7805003741")</f>
      </c>
      <c r="B38" t="s">
        <v>49</v>
      </c>
      <c r="C38" t="s">
        <v>50</v>
      </c>
      <c r="D38" t="s">
        <v>51</v>
      </c>
      <c r="E38" t="s">
        <v>33</v>
      </c>
      <c r="F38" t="s">
        <v>34</v>
      </c>
      <c r="G38" t="s">
        <v>35</v>
      </c>
      <c r="H38" s="3" t="str">
        <f>HYPERLINK("https://www.avito.ru/sankt-peterburg_kolpino/uslugi/priem_i_vyvoz_metalloloma_7805003741","Прием и вывоз металлолома")</f>
      </c>
      <c r="I38" t="s">
        <v>109</v>
      </c>
      <c r="J38" t="s">
        <v>53</v>
      </c>
      <c r="K38" t="s">
        <v>54</v>
      </c>
      <c r="L38">
        <v>71</v>
      </c>
      <c r="M38" t="s">
        <v>39</v>
      </c>
      <c r="N38">
        <v>55</v>
      </c>
      <c r="O38" s="4">
        <v>0.2</v>
      </c>
      <c r="P38">
        <v>11</v>
      </c>
      <c r="Q38" s="5">
        <v>364.89</v>
      </c>
      <c r="R38" s="4">
        <v>0.2727</v>
      </c>
      <c r="S38">
        <v>3</v>
      </c>
      <c r="T38">
        <v>3</v>
      </c>
      <c r="U38">
        <v>0</v>
      </c>
      <c r="V38">
        <v>0</v>
      </c>
      <c r="W38">
        <v>0</v>
      </c>
      <c r="X38" s="5">
        <v>1337.93</v>
      </c>
      <c r="Y38">
        <v>0</v>
      </c>
      <c r="Z38" s="5">
        <v>4013.8</v>
      </c>
      <c r="AA38" s="5">
        <v>0</v>
      </c>
      <c r="AB38" s="5">
        <v>100.8</v>
      </c>
      <c r="AC38" s="5">
        <v>3913</v>
      </c>
      <c r="AD38" s="5">
        <v>0</v>
      </c>
    </row>
    <row r="39">
      <c r="A39" s="2" t="str">
        <f>HYPERLINK("https://www.avito.ru/cherepovets/uslugi/vyvoz_metalloloma_skupka_medi_sdat_med_7837145209","7837145209")</f>
      </c>
      <c r="B39" t="s">
        <v>40</v>
      </c>
      <c r="C39" t="s">
        <v>41</v>
      </c>
      <c r="D39" t="s">
        <v>42</v>
      </c>
      <c r="E39" t="s">
        <v>33</v>
      </c>
      <c r="F39" t="s">
        <v>34</v>
      </c>
      <c r="G39" t="s">
        <v>35</v>
      </c>
      <c r="H39" s="3" t="str">
        <f>HYPERLINK("https://www.avito.ru/cherepovets/uslugi/vyvoz_metalloloma_skupka_medi_sdat_med_7837145209","Вывоз металлолома, скупка меди, сдать медь")</f>
      </c>
      <c r="I39" t="s">
        <v>57</v>
      </c>
      <c r="J39" t="s">
        <v>37</v>
      </c>
      <c r="K39" t="s">
        <v>38</v>
      </c>
      <c r="L39">
        <v>44</v>
      </c>
      <c r="M39" t="s">
        <v>39</v>
      </c>
      <c r="N39">
        <v>50</v>
      </c>
      <c r="O39" s="4">
        <v>0.22</v>
      </c>
      <c r="P39">
        <v>11</v>
      </c>
      <c r="Q39" s="5">
        <v>3.81</v>
      </c>
      <c r="R39" s="4">
        <v>0</v>
      </c>
      <c r="S39">
        <v>0</v>
      </c>
      <c r="T39">
        <v>0</v>
      </c>
      <c r="U39">
        <v>0</v>
      </c>
      <c r="V39">
        <v>0</v>
      </c>
      <c r="W39">
        <v>0</v>
      </c>
      <c r="X39" s="5" t="s">
        <v>83</v>
      </c>
      <c r="Y39">
        <v>0</v>
      </c>
      <c r="Z39" s="5">
        <v>42</v>
      </c>
      <c r="AA39" s="5">
        <v>0</v>
      </c>
      <c r="AB39" s="5">
        <v>42</v>
      </c>
      <c r="AC39" s="5">
        <v>0</v>
      </c>
      <c r="AD39" s="5">
        <v>0</v>
      </c>
    </row>
    <row r="40">
      <c r="A40" s="2" t="str">
        <f>HYPERLINK("https://www.avito.ru/velikiy_novgorod/uslugi/priem_metalloloma_vyvoz_metalloloma_demontazh_7837296315","7837296315")</f>
      </c>
      <c r="B40" t="s">
        <v>43</v>
      </c>
      <c r="C40" t="s">
        <v>44</v>
      </c>
      <c r="D40" t="s">
        <v>45</v>
      </c>
      <c r="E40" t="s">
        <v>33</v>
      </c>
      <c r="F40" t="s">
        <v>34</v>
      </c>
      <c r="G40" t="s">
        <v>35</v>
      </c>
      <c r="H40" s="3" t="str">
        <f>HYPERLINK("https://www.avito.ru/velikiy_novgorod/uslugi/priem_metalloloma_vyvoz_metalloloma_demontazh_7837296315","Прием металлолома / вывоз металлолома / демонтаж")</f>
      </c>
      <c r="I40" t="s">
        <v>57</v>
      </c>
      <c r="J40" t="s">
        <v>37</v>
      </c>
      <c r="K40" t="s">
        <v>38</v>
      </c>
      <c r="L40">
        <v>44</v>
      </c>
      <c r="M40" t="s">
        <v>39</v>
      </c>
      <c r="N40">
        <v>51</v>
      </c>
      <c r="O40" s="4">
        <v>0.2156</v>
      </c>
      <c r="P40">
        <v>11</v>
      </c>
      <c r="Q40" s="5">
        <v>5.72</v>
      </c>
      <c r="R40" s="4">
        <v>0.0909</v>
      </c>
      <c r="S40">
        <v>1</v>
      </c>
      <c r="T40">
        <v>1</v>
      </c>
      <c r="U40">
        <v>0</v>
      </c>
      <c r="V40">
        <v>0</v>
      </c>
      <c r="W40">
        <v>0</v>
      </c>
      <c r="X40" s="5">
        <v>63</v>
      </c>
      <c r="Y40">
        <v>0</v>
      </c>
      <c r="Z40" s="5">
        <v>63</v>
      </c>
      <c r="AA40" s="5">
        <v>0</v>
      </c>
      <c r="AB40" s="5">
        <v>63</v>
      </c>
      <c r="AC40" s="5">
        <v>0</v>
      </c>
      <c r="AD40" s="5">
        <v>0</v>
      </c>
    </row>
    <row r="41">
      <c r="A41" s="2" t="str">
        <f>HYPERLINK("https://www.avito.ru/sankt-peterburg/uslugi/priem_metalloloma_vyvoz_metalloloma_demontazh_7837077941","7837077941")</f>
      </c>
      <c r="B41" t="s">
        <v>55</v>
      </c>
      <c r="C41" t="s">
        <v>49</v>
      </c>
      <c r="D41" t="s">
        <v>86</v>
      </c>
      <c r="E41" t="s">
        <v>33</v>
      </c>
      <c r="F41" t="s">
        <v>34</v>
      </c>
      <c r="G41" t="s">
        <v>35</v>
      </c>
      <c r="H41" s="3" t="str">
        <f>HYPERLINK("https://www.avito.ru/sankt-peterburg/uslugi/priem_metalloloma_vyvoz_metalloloma_demontazh_7837077941","Прием металлолома / вывоз металлолома / демонтаж")</f>
      </c>
      <c r="I41" t="s">
        <v>74</v>
      </c>
      <c r="J41" t="s">
        <v>87</v>
      </c>
      <c r="K41" t="s">
        <v>88</v>
      </c>
      <c r="L41">
        <v>43</v>
      </c>
      <c r="M41" t="s">
        <v>39</v>
      </c>
      <c r="N41">
        <v>45</v>
      </c>
      <c r="O41" s="4">
        <v>0.2222</v>
      </c>
      <c r="P41">
        <v>10</v>
      </c>
      <c r="Q41" s="5">
        <v>429.18</v>
      </c>
      <c r="R41" s="4">
        <v>0</v>
      </c>
      <c r="S41">
        <v>0</v>
      </c>
      <c r="T41">
        <v>0</v>
      </c>
      <c r="U41">
        <v>0</v>
      </c>
      <c r="V41">
        <v>0</v>
      </c>
      <c r="W41">
        <v>0</v>
      </c>
      <c r="X41" s="5" t="s">
        <v>83</v>
      </c>
      <c r="Y41">
        <v>0</v>
      </c>
      <c r="Z41" s="5">
        <v>4291.8</v>
      </c>
      <c r="AA41" s="5">
        <v>0</v>
      </c>
      <c r="AB41" s="5">
        <v>100.8</v>
      </c>
      <c r="AC41" s="5">
        <v>4191</v>
      </c>
      <c r="AD41" s="5">
        <v>0</v>
      </c>
    </row>
    <row r="42">
      <c r="A42" s="2" t="str">
        <f>HYPERLINK("https://www.avito.ru/arhangelsk/uslugi/vyvoz_metalloloma_skupka_medi_sdat_med_7837492863","7837492863")</f>
      </c>
      <c r="B42" t="s">
        <v>30</v>
      </c>
      <c r="C42" t="s">
        <v>31</v>
      </c>
      <c r="D42" t="s">
        <v>32</v>
      </c>
      <c r="E42" t="s">
        <v>33</v>
      </c>
      <c r="F42" t="s">
        <v>34</v>
      </c>
      <c r="G42" t="s">
        <v>35</v>
      </c>
      <c r="H42" s="3" t="str">
        <f>HYPERLINK("https://www.avito.ru/arhangelsk/uslugi/vyvoz_metalloloma_skupka_medi_sdat_med_7837492863","Вывоз металлолома, скупка меди, сдать медь")</f>
      </c>
      <c r="I42" t="s">
        <v>57</v>
      </c>
      <c r="J42" t="s">
        <v>37</v>
      </c>
      <c r="K42" t="s">
        <v>38</v>
      </c>
      <c r="L42">
        <v>44</v>
      </c>
      <c r="M42" t="s">
        <v>39</v>
      </c>
      <c r="N42">
        <v>40</v>
      </c>
      <c r="O42" s="4">
        <v>0.25</v>
      </c>
      <c r="P42">
        <v>10</v>
      </c>
      <c r="Q42" s="5">
        <v>3.78</v>
      </c>
      <c r="R42" s="4">
        <v>0.1</v>
      </c>
      <c r="S42">
        <v>1</v>
      </c>
      <c r="T42">
        <v>1</v>
      </c>
      <c r="U42">
        <v>0</v>
      </c>
      <c r="V42">
        <v>0</v>
      </c>
      <c r="W42">
        <v>0</v>
      </c>
      <c r="X42" s="5">
        <v>37.8</v>
      </c>
      <c r="Y42">
        <v>1</v>
      </c>
      <c r="Z42" s="5">
        <v>37.8</v>
      </c>
      <c r="AA42" s="5">
        <v>0</v>
      </c>
      <c r="AB42" s="5">
        <v>37.8</v>
      </c>
      <c r="AC42" s="5">
        <v>0</v>
      </c>
      <c r="AD42" s="5">
        <v>0</v>
      </c>
    </row>
    <row r="43">
      <c r="A43" s="2" t="str">
        <f>HYPERLINK("https://www.avito.ru/vologda/uslugi/sdat_metallolom_7804957314","7804957314")</f>
      </c>
      <c r="B43" t="s">
        <v>40</v>
      </c>
      <c r="C43" t="s">
        <v>81</v>
      </c>
      <c r="D43" t="s">
        <v>82</v>
      </c>
      <c r="E43" t="s">
        <v>33</v>
      </c>
      <c r="F43" t="s">
        <v>34</v>
      </c>
      <c r="G43" t="s">
        <v>35</v>
      </c>
      <c r="H43" s="3" t="str">
        <f>HYPERLINK("https://www.avito.ru/vologda/uslugi/sdat_metallolom_7804957314","Сдать металлолом")</f>
      </c>
      <c r="I43" t="s">
        <v>110</v>
      </c>
      <c r="J43" t="s">
        <v>53</v>
      </c>
      <c r="K43" t="s">
        <v>54</v>
      </c>
      <c r="L43">
        <v>71</v>
      </c>
      <c r="M43" t="s">
        <v>39</v>
      </c>
      <c r="N43">
        <v>22</v>
      </c>
      <c r="O43" s="4">
        <v>0.409</v>
      </c>
      <c r="P43">
        <v>9</v>
      </c>
      <c r="Q43" s="5">
        <v>7</v>
      </c>
      <c r="R43" s="4">
        <v>0</v>
      </c>
      <c r="S43">
        <v>0</v>
      </c>
      <c r="T43">
        <v>0</v>
      </c>
      <c r="U43">
        <v>0</v>
      </c>
      <c r="V43">
        <v>0</v>
      </c>
      <c r="W43">
        <v>0</v>
      </c>
      <c r="X43" s="5" t="s">
        <v>83</v>
      </c>
      <c r="Y43">
        <v>0</v>
      </c>
      <c r="Z43" s="5">
        <v>63</v>
      </c>
      <c r="AA43" s="5">
        <v>0</v>
      </c>
      <c r="AB43" s="5">
        <v>63</v>
      </c>
      <c r="AC43" s="5">
        <v>0</v>
      </c>
      <c r="AD43" s="5">
        <v>0</v>
      </c>
    </row>
    <row r="44">
      <c r="A44" s="2" t="str">
        <f>HYPERLINK("https://www.avito.ru/sankt-peterburg_kolpino/uslugi/priem_avtomobilnyh_akkumulyatorov_bu_7805336972","7805336972")</f>
      </c>
      <c r="B44" t="s">
        <v>49</v>
      </c>
      <c r="C44" t="s">
        <v>50</v>
      </c>
      <c r="D44" t="s">
        <v>51</v>
      </c>
      <c r="E44" t="s">
        <v>33</v>
      </c>
      <c r="F44" t="s">
        <v>34</v>
      </c>
      <c r="G44" t="s">
        <v>35</v>
      </c>
      <c r="H44" s="3" t="str">
        <f>HYPERLINK("https://www.avito.ru/sankt-peterburg_kolpino/uslugi/priem_avtomobilnyh_akkumulyatorov_bu_7805336972","Прием автомобильных аккумуляторов бу")</f>
      </c>
      <c r="I44" t="s">
        <v>102</v>
      </c>
      <c r="J44" t="s">
        <v>53</v>
      </c>
      <c r="K44" t="s">
        <v>54</v>
      </c>
      <c r="L44">
        <v>71</v>
      </c>
      <c r="M44" t="s">
        <v>39</v>
      </c>
      <c r="N44">
        <v>52</v>
      </c>
      <c r="O44" s="4">
        <v>0.173</v>
      </c>
      <c r="P44">
        <v>9</v>
      </c>
      <c r="Q44" s="5">
        <v>11.2</v>
      </c>
      <c r="R44" s="4">
        <v>0.2222</v>
      </c>
      <c r="S44">
        <v>2</v>
      </c>
      <c r="T44">
        <v>1</v>
      </c>
      <c r="U44">
        <v>1</v>
      </c>
      <c r="V44">
        <v>0</v>
      </c>
      <c r="W44">
        <v>0</v>
      </c>
      <c r="X44" s="5">
        <v>50.4</v>
      </c>
      <c r="Y44">
        <v>0</v>
      </c>
      <c r="Z44" s="5">
        <v>100.8</v>
      </c>
      <c r="AA44" s="5">
        <v>0</v>
      </c>
      <c r="AB44" s="5">
        <v>100.8</v>
      </c>
      <c r="AC44" s="5">
        <v>0</v>
      </c>
      <c r="AD44" s="5">
        <v>0</v>
      </c>
    </row>
    <row r="45">
      <c r="A45" s="2" t="str">
        <f>HYPERLINK("https://www.avito.ru/sankt-peterburg_kronstadt/uslugi/sdat_staryy_akkumulyator_priem_akkumulyatorov_sdat_akb_7805669789","7805669789")</f>
      </c>
      <c r="B45" t="s">
        <v>49</v>
      </c>
      <c r="C45" t="s">
        <v>103</v>
      </c>
      <c r="D45" t="s">
        <v>104</v>
      </c>
      <c r="E45" t="s">
        <v>33</v>
      </c>
      <c r="F45" t="s">
        <v>34</v>
      </c>
      <c r="G45" t="s">
        <v>35</v>
      </c>
      <c r="H45" s="3" t="str">
        <f>HYPERLINK("https://www.avito.ru/sankt-peterburg_kronstadt/uslugi/sdat_staryy_akkumulyator_priem_akkumulyatorov_sdat_akb_7805669789","Сдать старый аккумулятор / приём аккумуляторов / сдать АКБ")</f>
      </c>
      <c r="I45" t="s">
        <v>36</v>
      </c>
      <c r="J45" t="s">
        <v>53</v>
      </c>
      <c r="K45" t="s">
        <v>54</v>
      </c>
      <c r="L45">
        <v>71</v>
      </c>
      <c r="M45" t="s">
        <v>39</v>
      </c>
      <c r="N45">
        <v>72</v>
      </c>
      <c r="O45" s="4">
        <v>0.125</v>
      </c>
      <c r="P45">
        <v>9</v>
      </c>
      <c r="Q45" s="5">
        <v>11.2</v>
      </c>
      <c r="R45" s="4">
        <v>0.2222</v>
      </c>
      <c r="S45">
        <v>2</v>
      </c>
      <c r="T45">
        <v>1</v>
      </c>
      <c r="U45">
        <v>1</v>
      </c>
      <c r="V45">
        <v>0</v>
      </c>
      <c r="W45">
        <v>0</v>
      </c>
      <c r="X45" s="5">
        <v>50.4</v>
      </c>
      <c r="Y45">
        <v>3</v>
      </c>
      <c r="Z45" s="5">
        <v>100.8</v>
      </c>
      <c r="AA45" s="5">
        <v>0</v>
      </c>
      <c r="AB45" s="5">
        <v>100.8</v>
      </c>
      <c r="AC45" s="5">
        <v>0</v>
      </c>
      <c r="AD45" s="5">
        <v>0</v>
      </c>
    </row>
    <row r="46">
      <c r="A46" s="2" t="str">
        <f>HYPERLINK("https://www.avito.ru/pskov/uslugi/priem_plat_i_elektronnogo_loma._skupka_plat_7869146241","7869146241")</f>
      </c>
      <c r="B46" t="s">
        <v>67</v>
      </c>
      <c r="C46" t="s">
        <v>68</v>
      </c>
      <c r="D46" t="s">
        <v>69</v>
      </c>
      <c r="E46" t="s">
        <v>33</v>
      </c>
      <c r="F46" t="s">
        <v>34</v>
      </c>
      <c r="G46" t="s">
        <v>35</v>
      </c>
      <c r="H46" s="3" t="str">
        <f>HYPERLINK("https://www.avito.ru/pskov/uslugi/priem_plat_i_elektronnogo_loma._skupka_plat_7869146241","Прием плат и электронного лома. Скупка плат")</f>
      </c>
      <c r="I46" t="s">
        <v>75</v>
      </c>
      <c r="J46" t="s">
        <v>71</v>
      </c>
      <c r="K46" t="s">
        <v>72</v>
      </c>
      <c r="L46">
        <v>36</v>
      </c>
      <c r="M46" t="s">
        <v>39</v>
      </c>
      <c r="N46">
        <v>13</v>
      </c>
      <c r="O46" s="4">
        <v>0.6923</v>
      </c>
      <c r="P46">
        <v>9</v>
      </c>
      <c r="Q46" s="5">
        <v>4.33</v>
      </c>
      <c r="R46" s="4">
        <v>0.1111</v>
      </c>
      <c r="S46">
        <v>1</v>
      </c>
      <c r="T46">
        <v>1</v>
      </c>
      <c r="U46">
        <v>0</v>
      </c>
      <c r="V46">
        <v>0</v>
      </c>
      <c r="W46">
        <v>0</v>
      </c>
      <c r="X46" s="5">
        <v>39</v>
      </c>
      <c r="Y46">
        <v>0</v>
      </c>
      <c r="Z46" s="5">
        <v>39</v>
      </c>
      <c r="AA46" s="5">
        <v>0</v>
      </c>
      <c r="AB46" s="5">
        <v>39</v>
      </c>
      <c r="AC46" s="5">
        <v>0</v>
      </c>
      <c r="AD46" s="5">
        <v>0</v>
      </c>
    </row>
    <row r="47">
      <c r="A47" s="2" t="str">
        <f>HYPERLINK("https://www.avito.ru/velikiy_novgorod/uslugi/priem_provodov._skupka_7869711196","7869711196")</f>
      </c>
      <c r="B47" t="s">
        <v>43</v>
      </c>
      <c r="C47" t="s">
        <v>44</v>
      </c>
      <c r="D47" t="s">
        <v>45</v>
      </c>
      <c r="E47" t="s">
        <v>33</v>
      </c>
      <c r="F47" t="s">
        <v>34</v>
      </c>
      <c r="G47" t="s">
        <v>35</v>
      </c>
      <c r="H47" s="3" t="str">
        <f>HYPERLINK("https://www.avito.ru/velikiy_novgorod/uslugi/priem_provodov._skupka_7869711196","Прием проводов. Скупка")</f>
      </c>
      <c r="I47" t="s">
        <v>70</v>
      </c>
      <c r="J47" t="s">
        <v>71</v>
      </c>
      <c r="K47" t="s">
        <v>72</v>
      </c>
      <c r="L47">
        <v>36</v>
      </c>
      <c r="M47" t="s">
        <v>39</v>
      </c>
      <c r="N47">
        <v>121</v>
      </c>
      <c r="O47" s="4">
        <v>0.0743</v>
      </c>
      <c r="P47">
        <v>9</v>
      </c>
      <c r="Q47" s="5">
        <v>4</v>
      </c>
      <c r="R47" s="4">
        <v>0</v>
      </c>
      <c r="S47">
        <v>0</v>
      </c>
      <c r="T47">
        <v>0</v>
      </c>
      <c r="U47">
        <v>0</v>
      </c>
      <c r="V47">
        <v>0</v>
      </c>
      <c r="W47">
        <v>0</v>
      </c>
      <c r="X47" s="5" t="s">
        <v>83</v>
      </c>
      <c r="Y47">
        <v>0</v>
      </c>
      <c r="Z47" s="5">
        <v>36</v>
      </c>
      <c r="AA47" s="5">
        <v>0</v>
      </c>
      <c r="AB47" s="5">
        <v>36</v>
      </c>
      <c r="AC47" s="5">
        <v>0</v>
      </c>
      <c r="AD47" s="5">
        <v>0</v>
      </c>
    </row>
    <row r="48">
      <c r="A48" s="2" t="str">
        <f>HYPERLINK("https://www.avito.ru/pskov/uslugi/skupka_metalla._redkozemelnye_metally_7869756106","7869756106")</f>
      </c>
      <c r="B48" t="s">
        <v>67</v>
      </c>
      <c r="C48" t="s">
        <v>68</v>
      </c>
      <c r="D48" t="s">
        <v>69</v>
      </c>
      <c r="E48" t="s">
        <v>33</v>
      </c>
      <c r="F48" t="s">
        <v>34</v>
      </c>
      <c r="G48" t="s">
        <v>35</v>
      </c>
      <c r="H48" s="3" t="str">
        <f>HYPERLINK("https://www.avito.ru/pskov/uslugi/skupka_metalla._redkozemelnye_metally_7869756106","Скупка металла. Редкоземельные металлы")</f>
      </c>
      <c r="I48" t="s">
        <v>111</v>
      </c>
      <c r="J48" t="s">
        <v>71</v>
      </c>
      <c r="K48" t="s">
        <v>72</v>
      </c>
      <c r="L48">
        <v>36</v>
      </c>
      <c r="M48" t="s">
        <v>39</v>
      </c>
      <c r="N48">
        <v>84</v>
      </c>
      <c r="O48" s="4">
        <v>0.1071</v>
      </c>
      <c r="P48">
        <v>9</v>
      </c>
      <c r="Q48" s="5">
        <v>3.46</v>
      </c>
      <c r="R48" s="4">
        <v>0</v>
      </c>
      <c r="S48">
        <v>0</v>
      </c>
      <c r="T48">
        <v>0</v>
      </c>
      <c r="U48">
        <v>0</v>
      </c>
      <c r="V48">
        <v>0</v>
      </c>
      <c r="W48">
        <v>0</v>
      </c>
      <c r="X48" s="5" t="s">
        <v>83</v>
      </c>
      <c r="Y48">
        <v>0</v>
      </c>
      <c r="Z48" s="5">
        <v>31.2</v>
      </c>
      <c r="AA48" s="5">
        <v>0</v>
      </c>
      <c r="AB48" s="5">
        <v>31.2</v>
      </c>
      <c r="AC48" s="5">
        <v>0</v>
      </c>
      <c r="AD48" s="5">
        <v>0</v>
      </c>
    </row>
    <row r="49">
      <c r="A49" s="2" t="str">
        <f>HYPERLINK("https://www.avito.ru/cherepovets/uslugi/priem_metalloloma_vyvoz_metalloloma_demontazh_7837205601","7837205601")</f>
      </c>
      <c r="B49" t="s">
        <v>40</v>
      </c>
      <c r="C49" t="s">
        <v>41</v>
      </c>
      <c r="D49" t="s">
        <v>42</v>
      </c>
      <c r="E49" t="s">
        <v>33</v>
      </c>
      <c r="F49" t="s">
        <v>34</v>
      </c>
      <c r="G49" t="s">
        <v>35</v>
      </c>
      <c r="H49" s="3" t="str">
        <f>HYPERLINK("https://www.avito.ru/cherepovets/uslugi/priem_metalloloma_vyvoz_metalloloma_demontazh_7837205601","Прием металлолома / вывоз металлолома / демонтаж")</f>
      </c>
      <c r="I49" t="s">
        <v>57</v>
      </c>
      <c r="J49" t="s">
        <v>37</v>
      </c>
      <c r="K49" t="s">
        <v>38</v>
      </c>
      <c r="L49">
        <v>44</v>
      </c>
      <c r="M49" t="s">
        <v>39</v>
      </c>
      <c r="N49">
        <v>67</v>
      </c>
      <c r="O49" s="4">
        <v>0.1194</v>
      </c>
      <c r="P49">
        <v>8</v>
      </c>
      <c r="Q49" s="5">
        <v>5.25</v>
      </c>
      <c r="R49" s="4">
        <v>0.125</v>
      </c>
      <c r="S49">
        <v>1</v>
      </c>
      <c r="T49">
        <v>1</v>
      </c>
      <c r="U49">
        <v>0</v>
      </c>
      <c r="V49">
        <v>0</v>
      </c>
      <c r="W49">
        <v>0</v>
      </c>
      <c r="X49" s="5">
        <v>42</v>
      </c>
      <c r="Y49">
        <v>1</v>
      </c>
      <c r="Z49" s="5">
        <v>42</v>
      </c>
      <c r="AA49" s="5">
        <v>0</v>
      </c>
      <c r="AB49" s="5">
        <v>42</v>
      </c>
      <c r="AC49" s="5">
        <v>0</v>
      </c>
      <c r="AD49" s="5">
        <v>0</v>
      </c>
    </row>
    <row r="50">
      <c r="A50" s="2" t="str">
        <f>HYPERLINK("https://www.avito.ru/vologda/uslugi/skupka_metalla._redkozemelnye_metally_7869690627","7869690627")</f>
      </c>
      <c r="B50" t="s">
        <v>40</v>
      </c>
      <c r="C50" t="s">
        <v>81</v>
      </c>
      <c r="D50" t="s">
        <v>82</v>
      </c>
      <c r="E50" t="s">
        <v>33</v>
      </c>
      <c r="F50" t="s">
        <v>34</v>
      </c>
      <c r="G50" t="s">
        <v>35</v>
      </c>
      <c r="H50" s="3" t="str">
        <f>HYPERLINK("https://www.avito.ru/vologda/uslugi/skupka_metalla._redkozemelnye_metally_7869690627","Скупка металла. Редкоземельные металлы")</f>
      </c>
      <c r="I50" t="s">
        <v>111</v>
      </c>
      <c r="J50" t="s">
        <v>71</v>
      </c>
      <c r="K50" t="s">
        <v>72</v>
      </c>
      <c r="L50">
        <v>36</v>
      </c>
      <c r="M50" t="s">
        <v>39</v>
      </c>
      <c r="N50">
        <v>20</v>
      </c>
      <c r="O50" s="4">
        <v>0.4</v>
      </c>
      <c r="P50">
        <v>8</v>
      </c>
      <c r="Q50" s="5">
        <v>4.5</v>
      </c>
      <c r="R50" s="4">
        <v>0</v>
      </c>
      <c r="S50">
        <v>0</v>
      </c>
      <c r="T50">
        <v>0</v>
      </c>
      <c r="U50">
        <v>0</v>
      </c>
      <c r="V50">
        <v>0</v>
      </c>
      <c r="W50">
        <v>0</v>
      </c>
      <c r="X50" s="5" t="s">
        <v>83</v>
      </c>
      <c r="Y50">
        <v>0</v>
      </c>
      <c r="Z50" s="5">
        <v>36</v>
      </c>
      <c r="AA50" s="5">
        <v>0</v>
      </c>
      <c r="AB50" s="5">
        <v>36</v>
      </c>
      <c r="AC50" s="5">
        <v>0</v>
      </c>
      <c r="AD50" s="5">
        <v>0</v>
      </c>
    </row>
    <row r="51">
      <c r="A51" s="2" t="str">
        <f>HYPERLINK("https://www.avito.ru/sankt-peterburg_pushkin/uslugi/priem_plat_i_elektronnogo_loma._skupka_plat_7804957025","7804957025")</f>
      </c>
      <c r="B51" t="s">
        <v>49</v>
      </c>
      <c r="C51" t="s">
        <v>89</v>
      </c>
      <c r="D51" t="s">
        <v>90</v>
      </c>
      <c r="E51" t="s">
        <v>33</v>
      </c>
      <c r="F51" t="s">
        <v>34</v>
      </c>
      <c r="G51" t="s">
        <v>35</v>
      </c>
      <c r="H51" s="3" t="str">
        <f>HYPERLINK("https://www.avito.ru/sankt-peterburg_pushkin/uslugi/priem_plat_i_elektronnogo_loma._skupka_plat_7804957025","Прием плат и электронного лома. Скупка плат")</f>
      </c>
      <c r="I51" t="s">
        <v>112</v>
      </c>
      <c r="J51" t="s">
        <v>53</v>
      </c>
      <c r="K51" t="s">
        <v>54</v>
      </c>
      <c r="L51">
        <v>71</v>
      </c>
      <c r="M51" t="s">
        <v>39</v>
      </c>
      <c r="N51">
        <v>17</v>
      </c>
      <c r="O51" s="4">
        <v>0.4117</v>
      </c>
      <c r="P51">
        <v>7</v>
      </c>
      <c r="Q51" s="5">
        <v>14.4</v>
      </c>
      <c r="R51" s="4">
        <v>0.2857</v>
      </c>
      <c r="S51">
        <v>2</v>
      </c>
      <c r="T51">
        <v>1</v>
      </c>
      <c r="U51">
        <v>1</v>
      </c>
      <c r="V51">
        <v>0</v>
      </c>
      <c r="W51">
        <v>0</v>
      </c>
      <c r="X51" s="5">
        <v>50.4</v>
      </c>
      <c r="Y51">
        <v>0</v>
      </c>
      <c r="Z51" s="5">
        <v>100.8</v>
      </c>
      <c r="AA51" s="5">
        <v>0</v>
      </c>
      <c r="AB51" s="5">
        <v>100.8</v>
      </c>
      <c r="AC51" s="5">
        <v>0</v>
      </c>
      <c r="AD51" s="5">
        <v>0</v>
      </c>
    </row>
    <row r="52">
      <c r="A52" s="2" t="str">
        <f>HYPERLINK("https://www.avito.ru/sankt-peterburg/uslugi/skupka_radiodetaley_plat_priborov_7805035612","7805035612")</f>
      </c>
      <c r="B52" t="s">
        <v>55</v>
      </c>
      <c r="C52" t="s">
        <v>49</v>
      </c>
      <c r="D52" t="s">
        <v>113</v>
      </c>
      <c r="E52" t="s">
        <v>33</v>
      </c>
      <c r="F52" t="s">
        <v>34</v>
      </c>
      <c r="G52" t="s">
        <v>35</v>
      </c>
      <c r="H52" s="3" t="str">
        <f>HYPERLINK("https://www.avito.ru/sankt-peterburg/uslugi/skupka_radiodetaley_plat_priborov_7805035612","Скупка радиодеталей / плат / приборов")</f>
      </c>
      <c r="I52" t="s">
        <v>114</v>
      </c>
      <c r="J52" t="s">
        <v>53</v>
      </c>
      <c r="K52" t="s">
        <v>54</v>
      </c>
      <c r="L52">
        <v>71</v>
      </c>
      <c r="M52" t="s">
        <v>39</v>
      </c>
      <c r="N52">
        <v>28</v>
      </c>
      <c r="O52" s="4">
        <v>0.25</v>
      </c>
      <c r="P52">
        <v>7</v>
      </c>
      <c r="Q52" s="5">
        <v>14.4</v>
      </c>
      <c r="R52" s="4">
        <v>0</v>
      </c>
      <c r="S52">
        <v>0</v>
      </c>
      <c r="T52">
        <v>0</v>
      </c>
      <c r="U52">
        <v>0</v>
      </c>
      <c r="V52">
        <v>0</v>
      </c>
      <c r="W52">
        <v>0</v>
      </c>
      <c r="X52" s="5" t="s">
        <v>83</v>
      </c>
      <c r="Y52">
        <v>1</v>
      </c>
      <c r="Z52" s="5">
        <v>100.8</v>
      </c>
      <c r="AA52" s="5">
        <v>0</v>
      </c>
      <c r="AB52" s="5">
        <v>100.8</v>
      </c>
      <c r="AC52" s="5">
        <v>0</v>
      </c>
      <c r="AD52" s="5">
        <v>0</v>
      </c>
    </row>
    <row r="53">
      <c r="A53" s="2" t="str">
        <f>HYPERLINK("https://www.avito.ru/petrozavodsk/uslugi/priem_alyuminiya.priem_metalloloma.vyvoz_7837653139","7837653139")</f>
      </c>
      <c r="B53" t="s">
        <v>46</v>
      </c>
      <c r="C53" t="s">
        <v>47</v>
      </c>
      <c r="D53" t="s">
        <v>48</v>
      </c>
      <c r="E53" t="s">
        <v>33</v>
      </c>
      <c r="F53" t="s">
        <v>34</v>
      </c>
      <c r="G53" t="s">
        <v>35</v>
      </c>
      <c r="H53" s="3" t="str">
        <f>HYPERLINK("https://www.avito.ru/petrozavodsk/uslugi/priem_alyuminiya.priem_metalloloma.vyvoz_7837653139","Прием алюминия.Прием металлолома.Вывоз")</f>
      </c>
      <c r="I53" t="s">
        <v>115</v>
      </c>
      <c r="J53" t="s">
        <v>37</v>
      </c>
      <c r="K53" t="s">
        <v>38</v>
      </c>
      <c r="L53">
        <v>44</v>
      </c>
      <c r="M53" t="s">
        <v>39</v>
      </c>
      <c r="N53">
        <v>54</v>
      </c>
      <c r="O53" s="4">
        <v>0.1296</v>
      </c>
      <c r="P53">
        <v>7</v>
      </c>
      <c r="Q53" s="5">
        <v>6</v>
      </c>
      <c r="R53" s="4">
        <v>0</v>
      </c>
      <c r="S53">
        <v>0</v>
      </c>
      <c r="T53">
        <v>0</v>
      </c>
      <c r="U53">
        <v>0</v>
      </c>
      <c r="V53">
        <v>0</v>
      </c>
      <c r="W53">
        <v>0</v>
      </c>
      <c r="X53" s="5" t="s">
        <v>83</v>
      </c>
      <c r="Y53">
        <v>0</v>
      </c>
      <c r="Z53" s="5">
        <v>42</v>
      </c>
      <c r="AA53" s="5">
        <v>0</v>
      </c>
      <c r="AB53" s="5">
        <v>42</v>
      </c>
      <c r="AC53" s="5">
        <v>0</v>
      </c>
      <c r="AD53" s="5">
        <v>0</v>
      </c>
    </row>
    <row r="54">
      <c r="A54" s="2" t="str">
        <f>HYPERLINK("https://www.avito.ru/pskov/uslugi/priem_metalloloma_vyvoz_metalloloma_demontazh_7869154448","7869154448")</f>
      </c>
      <c r="B54" t="s">
        <v>67</v>
      </c>
      <c r="C54" t="s">
        <v>68</v>
      </c>
      <c r="D54" t="s">
        <v>69</v>
      </c>
      <c r="E54" t="s">
        <v>33</v>
      </c>
      <c r="F54" t="s">
        <v>34</v>
      </c>
      <c r="G54" t="s">
        <v>35</v>
      </c>
      <c r="H54" s="3" t="str">
        <f>HYPERLINK("https://www.avito.ru/pskov/uslugi/priem_metalloloma_vyvoz_metalloloma_demontazh_7869154448","Прием металлолома / вывоз металлолома / демонтаж")</f>
      </c>
      <c r="I54" t="s">
        <v>57</v>
      </c>
      <c r="J54" t="s">
        <v>71</v>
      </c>
      <c r="K54" t="s">
        <v>72</v>
      </c>
      <c r="L54">
        <v>36</v>
      </c>
      <c r="M54" t="s">
        <v>39</v>
      </c>
      <c r="N54">
        <v>18</v>
      </c>
      <c r="O54" s="4">
        <v>0.3888</v>
      </c>
      <c r="P54">
        <v>7</v>
      </c>
      <c r="Q54" s="5">
        <v>4.45</v>
      </c>
      <c r="R54" s="4">
        <v>0</v>
      </c>
      <c r="S54">
        <v>0</v>
      </c>
      <c r="T54">
        <v>0</v>
      </c>
      <c r="U54">
        <v>0</v>
      </c>
      <c r="V54">
        <v>0</v>
      </c>
      <c r="W54">
        <v>0</v>
      </c>
      <c r="X54" s="5" t="s">
        <v>83</v>
      </c>
      <c r="Y54">
        <v>0</v>
      </c>
      <c r="Z54" s="5">
        <v>31.2</v>
      </c>
      <c r="AA54" s="5">
        <v>0</v>
      </c>
      <c r="AB54" s="5">
        <v>31.2</v>
      </c>
      <c r="AC54" s="5">
        <v>0</v>
      </c>
      <c r="AD54" s="5">
        <v>0</v>
      </c>
    </row>
    <row r="55">
      <c r="A55" s="2" t="str">
        <f>HYPERLINK("https://www.avito.ru/arhangelsk/uslugi/priem_plat_i_elektronnogo_loma._skupka_plat_7869446806","7869446806")</f>
      </c>
      <c r="B55" t="s">
        <v>30</v>
      </c>
      <c r="C55" t="s">
        <v>31</v>
      </c>
      <c r="D55" t="s">
        <v>32</v>
      </c>
      <c r="E55" t="s">
        <v>33</v>
      </c>
      <c r="F55" t="s">
        <v>34</v>
      </c>
      <c r="G55" t="s">
        <v>35</v>
      </c>
      <c r="H55" s="3" t="str">
        <f>HYPERLINK("https://www.avito.ru/arhangelsk/uslugi/priem_plat_i_elektronnogo_loma._skupka_plat_7869446806","Прием плат и электронного лома. Скупка плат")</f>
      </c>
      <c r="I55" t="s">
        <v>75</v>
      </c>
      <c r="J55" t="s">
        <v>71</v>
      </c>
      <c r="K55" t="s">
        <v>72</v>
      </c>
      <c r="L55">
        <v>36</v>
      </c>
      <c r="M55" t="s">
        <v>39</v>
      </c>
      <c r="N55">
        <v>11</v>
      </c>
      <c r="O55" s="4">
        <v>0.6363</v>
      </c>
      <c r="P55">
        <v>7</v>
      </c>
      <c r="Q55" s="5">
        <v>3.08</v>
      </c>
      <c r="R55" s="4">
        <v>0</v>
      </c>
      <c r="S55">
        <v>0</v>
      </c>
      <c r="T55">
        <v>0</v>
      </c>
      <c r="U55">
        <v>0</v>
      </c>
      <c r="V55">
        <v>0</v>
      </c>
      <c r="W55">
        <v>0</v>
      </c>
      <c r="X55" s="5" t="s">
        <v>83</v>
      </c>
      <c r="Y55">
        <v>0</v>
      </c>
      <c r="Z55" s="5">
        <v>21.6</v>
      </c>
      <c r="AA55" s="5">
        <v>0</v>
      </c>
      <c r="AB55" s="5">
        <v>21.6</v>
      </c>
      <c r="AC55" s="5">
        <v>0</v>
      </c>
      <c r="AD55" s="5">
        <v>0</v>
      </c>
    </row>
    <row r="56">
      <c r="A56" s="2" t="str">
        <f>HYPERLINK("https://www.avito.ru/cherepovets/uslugi/priem_i_vyvoz_metalloloma_7804963380","7804963380")</f>
      </c>
      <c r="B56" t="s">
        <v>40</v>
      </c>
      <c r="C56" t="s">
        <v>41</v>
      </c>
      <c r="D56" t="s">
        <v>42</v>
      </c>
      <c r="E56" t="s">
        <v>33</v>
      </c>
      <c r="F56" t="s">
        <v>34</v>
      </c>
      <c r="G56" t="s">
        <v>35</v>
      </c>
      <c r="H56" s="3" t="str">
        <f>HYPERLINK("https://www.avito.ru/cherepovets/uslugi/priem_i_vyvoz_metalloloma_7804963380","Прием и вывоз металлолома")</f>
      </c>
      <c r="I56" t="s">
        <v>111</v>
      </c>
      <c r="J56" t="s">
        <v>53</v>
      </c>
      <c r="K56" t="s">
        <v>54</v>
      </c>
      <c r="L56">
        <v>71</v>
      </c>
      <c r="M56" t="s">
        <v>39</v>
      </c>
      <c r="N56">
        <v>34</v>
      </c>
      <c r="O56" s="4">
        <v>0.1764</v>
      </c>
      <c r="P56">
        <v>6</v>
      </c>
      <c r="Q56" s="5">
        <v>7</v>
      </c>
      <c r="R56" s="4">
        <v>0</v>
      </c>
      <c r="S56">
        <v>0</v>
      </c>
      <c r="T56">
        <v>0</v>
      </c>
      <c r="U56">
        <v>0</v>
      </c>
      <c r="V56">
        <v>0</v>
      </c>
      <c r="W56">
        <v>0</v>
      </c>
      <c r="X56" s="5" t="s">
        <v>83</v>
      </c>
      <c r="Y56">
        <v>0</v>
      </c>
      <c r="Z56" s="5">
        <v>42</v>
      </c>
      <c r="AA56" s="5">
        <v>0</v>
      </c>
      <c r="AB56" s="5">
        <v>42</v>
      </c>
      <c r="AC56" s="5">
        <v>0</v>
      </c>
      <c r="AD56" s="5">
        <v>0</v>
      </c>
    </row>
    <row r="57">
      <c r="A57" s="2" t="str">
        <f>HYPERLINK("https://www.avito.ru/kingisepp/uslugi/sdat_metallolom_spb_i_lo_7805075141","7805075141")</f>
      </c>
      <c r="B57" t="s">
        <v>116</v>
      </c>
      <c r="C57" t="s">
        <v>117</v>
      </c>
      <c r="D57" t="s">
        <v>117</v>
      </c>
      <c r="E57" t="s">
        <v>33</v>
      </c>
      <c r="F57" t="s">
        <v>34</v>
      </c>
      <c r="G57" t="s">
        <v>35</v>
      </c>
      <c r="H57" s="3" t="str">
        <f>HYPERLINK("https://www.avito.ru/kingisepp/uslugi/sdat_metallolom_spb_i_lo_7805075141","Сдать металлолом СПБ и ло")</f>
      </c>
      <c r="I57" t="s">
        <v>111</v>
      </c>
      <c r="J57" t="s">
        <v>53</v>
      </c>
      <c r="K57" t="s">
        <v>118</v>
      </c>
      <c r="L57">
        <v>71</v>
      </c>
      <c r="M57" t="s">
        <v>39</v>
      </c>
      <c r="N57">
        <v>40</v>
      </c>
      <c r="O57" s="4">
        <v>0.15</v>
      </c>
      <c r="P57">
        <v>6</v>
      </c>
      <c r="Q57" s="5">
        <v>3.6</v>
      </c>
      <c r="R57" s="4">
        <v>0</v>
      </c>
      <c r="S57">
        <v>0</v>
      </c>
      <c r="T57">
        <v>0</v>
      </c>
      <c r="U57">
        <v>0</v>
      </c>
      <c r="V57">
        <v>0</v>
      </c>
      <c r="W57">
        <v>0</v>
      </c>
      <c r="X57" s="5" t="s">
        <v>83</v>
      </c>
      <c r="Y57">
        <v>0</v>
      </c>
      <c r="Z57" s="5">
        <v>21.6</v>
      </c>
      <c r="AA57" s="5">
        <v>0</v>
      </c>
      <c r="AB57" s="5">
        <v>21.6</v>
      </c>
      <c r="AC57" s="5">
        <v>0</v>
      </c>
      <c r="AD57" s="5">
        <v>0</v>
      </c>
    </row>
    <row r="58">
      <c r="A58" s="2" t="str">
        <f>HYPERLINK("https://www.avito.ru/sankt-peterburg_sestroretsk/uslugi/priem_bu_akkumulyatorov_7805145257","7805145257")</f>
      </c>
      <c r="B58" t="s">
        <v>49</v>
      </c>
      <c r="C58" t="s">
        <v>106</v>
      </c>
      <c r="D58" t="s">
        <v>107</v>
      </c>
      <c r="E58" t="s">
        <v>33</v>
      </c>
      <c r="F58" t="s">
        <v>34</v>
      </c>
      <c r="G58" t="s">
        <v>35</v>
      </c>
      <c r="H58" s="3" t="str">
        <f>HYPERLINK("https://www.avito.ru/sankt-peterburg_sestroretsk/uslugi/priem_bu_akkumulyatorov_7805145257","Прием бу аккумуляторов")</f>
      </c>
      <c r="I58" t="s">
        <v>52</v>
      </c>
      <c r="J58" t="s">
        <v>53</v>
      </c>
      <c r="K58" t="s">
        <v>54</v>
      </c>
      <c r="L58">
        <v>71</v>
      </c>
      <c r="M58" t="s">
        <v>39</v>
      </c>
      <c r="N58">
        <v>15</v>
      </c>
      <c r="O58" s="4">
        <v>0.4</v>
      </c>
      <c r="P58">
        <v>6</v>
      </c>
      <c r="Q58" s="5">
        <v>16.8</v>
      </c>
      <c r="R58" s="4">
        <v>0.1666</v>
      </c>
      <c r="S58">
        <v>1</v>
      </c>
      <c r="T58">
        <v>1</v>
      </c>
      <c r="U58">
        <v>0</v>
      </c>
      <c r="V58">
        <v>0</v>
      </c>
      <c r="W58">
        <v>0</v>
      </c>
      <c r="X58" s="5">
        <v>100.8</v>
      </c>
      <c r="Y58">
        <v>0</v>
      </c>
      <c r="Z58" s="5">
        <v>100.8</v>
      </c>
      <c r="AA58" s="5">
        <v>0</v>
      </c>
      <c r="AB58" s="5">
        <v>100.8</v>
      </c>
      <c r="AC58" s="5">
        <v>0</v>
      </c>
      <c r="AD58" s="5">
        <v>0</v>
      </c>
    </row>
    <row r="59">
      <c r="A59" s="2" t="str">
        <f>HYPERLINK("https://www.avito.ru/sankt-peterburg_zelenogorsk/uslugi/priem_provodov._skupka_7805175433","7805175433")</f>
      </c>
      <c r="B59" t="s">
        <v>49</v>
      </c>
      <c r="C59" t="s">
        <v>119</v>
      </c>
      <c r="D59" t="s">
        <v>120</v>
      </c>
      <c r="E59" t="s">
        <v>33</v>
      </c>
      <c r="F59" t="s">
        <v>34</v>
      </c>
      <c r="G59" t="s">
        <v>35</v>
      </c>
      <c r="H59" s="3" t="str">
        <f>HYPERLINK("https://www.avito.ru/sankt-peterburg_zelenogorsk/uslugi/priem_provodov._skupka_7805175433","Прием проводов. Скупка")</f>
      </c>
      <c r="I59" t="s">
        <v>70</v>
      </c>
      <c r="J59" t="s">
        <v>53</v>
      </c>
      <c r="K59" t="s">
        <v>54</v>
      </c>
      <c r="L59">
        <v>71</v>
      </c>
      <c r="M59" t="s">
        <v>39</v>
      </c>
      <c r="N59">
        <v>38</v>
      </c>
      <c r="O59" s="4">
        <v>0.1578</v>
      </c>
      <c r="P59">
        <v>6</v>
      </c>
      <c r="Q59" s="5">
        <v>16.8</v>
      </c>
      <c r="R59" s="4">
        <v>0</v>
      </c>
      <c r="S59">
        <v>0</v>
      </c>
      <c r="T59">
        <v>0</v>
      </c>
      <c r="U59">
        <v>0</v>
      </c>
      <c r="V59">
        <v>0</v>
      </c>
      <c r="W59">
        <v>0</v>
      </c>
      <c r="X59" s="5" t="s">
        <v>83</v>
      </c>
      <c r="Y59">
        <v>1</v>
      </c>
      <c r="Z59" s="5">
        <v>100.8</v>
      </c>
      <c r="AA59" s="5">
        <v>0</v>
      </c>
      <c r="AB59" s="5">
        <v>100.8</v>
      </c>
      <c r="AC59" s="5">
        <v>0</v>
      </c>
      <c r="AD59" s="5">
        <v>0</v>
      </c>
    </row>
    <row r="60">
      <c r="A60" s="2" t="str">
        <f>HYPERLINK("https://www.avito.ru/velikiy_novgorod/uslugi/priem_metalloloma_vyvoz_metalloloma_demontazh_7805448542","7805448542")</f>
      </c>
      <c r="B60" t="s">
        <v>43</v>
      </c>
      <c r="C60" t="s">
        <v>44</v>
      </c>
      <c r="D60" t="s">
        <v>45</v>
      </c>
      <c r="E60" t="s">
        <v>33</v>
      </c>
      <c r="F60" t="s">
        <v>34</v>
      </c>
      <c r="G60" t="s">
        <v>35</v>
      </c>
      <c r="H60" s="3" t="str">
        <f>HYPERLINK("https://www.avito.ru/velikiy_novgorod/uslugi/priem_metalloloma_vyvoz_metalloloma_demontazh_7805448542","Прием металлолома / вывоз металлолома / демонтаж")</f>
      </c>
      <c r="I60" t="s">
        <v>109</v>
      </c>
      <c r="J60" t="s">
        <v>53</v>
      </c>
      <c r="K60" t="s">
        <v>54</v>
      </c>
      <c r="L60">
        <v>71</v>
      </c>
      <c r="M60" t="s">
        <v>39</v>
      </c>
      <c r="N60">
        <v>25</v>
      </c>
      <c r="O60" s="4">
        <v>0.24</v>
      </c>
      <c r="P60">
        <v>6</v>
      </c>
      <c r="Q60" s="5">
        <v>10.5</v>
      </c>
      <c r="R60" s="4">
        <v>0.3333</v>
      </c>
      <c r="S60">
        <v>2</v>
      </c>
      <c r="T60">
        <v>1</v>
      </c>
      <c r="U60">
        <v>1</v>
      </c>
      <c r="V60">
        <v>0</v>
      </c>
      <c r="W60">
        <v>0</v>
      </c>
      <c r="X60" s="5">
        <v>31.5</v>
      </c>
      <c r="Y60">
        <v>0</v>
      </c>
      <c r="Z60" s="5">
        <v>63</v>
      </c>
      <c r="AA60" s="5">
        <v>0</v>
      </c>
      <c r="AB60" s="5">
        <v>63</v>
      </c>
      <c r="AC60" s="5">
        <v>0</v>
      </c>
      <c r="AD60" s="5">
        <v>0</v>
      </c>
    </row>
    <row r="61">
      <c r="A61" s="2" t="str">
        <f>HYPERLINK("https://www.avito.ru/arhangelsk/uslugi/priem_i_vyvoz_metalloloma_samovyvoz_loma_7805494868","7805494868")</f>
      </c>
      <c r="B61" t="s">
        <v>30</v>
      </c>
      <c r="C61" t="s">
        <v>31</v>
      </c>
      <c r="D61" t="s">
        <v>32</v>
      </c>
      <c r="E61" t="s">
        <v>33</v>
      </c>
      <c r="F61" t="s">
        <v>34</v>
      </c>
      <c r="G61" t="s">
        <v>35</v>
      </c>
      <c r="H61" s="3" t="str">
        <f>HYPERLINK("https://www.avito.ru/arhangelsk/uslugi/priem_i_vyvoz_metalloloma_samovyvoz_loma_7805494868","Прием и вывоз металлолома / Самовывоз лома")</f>
      </c>
      <c r="I61" t="s">
        <v>121</v>
      </c>
      <c r="J61" t="s">
        <v>53</v>
      </c>
      <c r="K61" t="s">
        <v>54</v>
      </c>
      <c r="L61">
        <v>71</v>
      </c>
      <c r="M61" t="s">
        <v>39</v>
      </c>
      <c r="N61">
        <v>27</v>
      </c>
      <c r="O61" s="4">
        <v>0.2222</v>
      </c>
      <c r="P61">
        <v>6</v>
      </c>
      <c r="Q61" s="5">
        <v>6.3</v>
      </c>
      <c r="R61" s="4">
        <v>0</v>
      </c>
      <c r="S61">
        <v>0</v>
      </c>
      <c r="T61">
        <v>0</v>
      </c>
      <c r="U61">
        <v>0</v>
      </c>
      <c r="V61">
        <v>0</v>
      </c>
      <c r="W61">
        <v>0</v>
      </c>
      <c r="X61" s="5" t="s">
        <v>83</v>
      </c>
      <c r="Y61">
        <v>0</v>
      </c>
      <c r="Z61" s="5">
        <v>37.8</v>
      </c>
      <c r="AA61" s="5">
        <v>0</v>
      </c>
      <c r="AB61" s="5">
        <v>37.8</v>
      </c>
      <c r="AC61" s="5">
        <v>0</v>
      </c>
      <c r="AD61" s="5">
        <v>0</v>
      </c>
    </row>
    <row r="62">
      <c r="A62" s="2" t="str">
        <f>HYPERLINK("https://www.avito.ru/sankt-peterburg/uslugi/priem_metalloloma._redkozemelnye_metally_7805774797","7805774797")</f>
      </c>
      <c r="B62" t="s">
        <v>55</v>
      </c>
      <c r="C62" t="s">
        <v>49</v>
      </c>
      <c r="D62" t="s">
        <v>122</v>
      </c>
      <c r="E62" t="s">
        <v>33</v>
      </c>
      <c r="F62" t="s">
        <v>34</v>
      </c>
      <c r="G62" t="s">
        <v>35</v>
      </c>
      <c r="H62" s="3" t="str">
        <f>HYPERLINK("https://www.avito.ru/sankt-peterburg/uslugi/priem_metalloloma._redkozemelnye_metally_7805774797","Прием металлолома. Редкоземельные металлы")</f>
      </c>
      <c r="I62" t="s">
        <v>121</v>
      </c>
      <c r="J62" t="s">
        <v>53</v>
      </c>
      <c r="K62" t="s">
        <v>54</v>
      </c>
      <c r="L62">
        <v>71</v>
      </c>
      <c r="M62" t="s">
        <v>39</v>
      </c>
      <c r="N62">
        <v>32</v>
      </c>
      <c r="O62" s="4">
        <v>0.1875</v>
      </c>
      <c r="P62">
        <v>6</v>
      </c>
      <c r="Q62" s="5">
        <v>16.8</v>
      </c>
      <c r="R62" s="4">
        <v>0</v>
      </c>
      <c r="S62">
        <v>0</v>
      </c>
      <c r="T62">
        <v>0</v>
      </c>
      <c r="U62">
        <v>0</v>
      </c>
      <c r="V62">
        <v>0</v>
      </c>
      <c r="W62">
        <v>0</v>
      </c>
      <c r="X62" s="5" t="s">
        <v>83</v>
      </c>
      <c r="Y62">
        <v>0</v>
      </c>
      <c r="Z62" s="5">
        <v>100.8</v>
      </c>
      <c r="AA62" s="5">
        <v>0</v>
      </c>
      <c r="AB62" s="5">
        <v>100.8</v>
      </c>
      <c r="AC62" s="5">
        <v>0</v>
      </c>
      <c r="AD62" s="5">
        <v>0</v>
      </c>
    </row>
    <row r="63">
      <c r="A63" s="2" t="str">
        <f>HYPERLINK("https://www.avito.ru/sankt-peterburg/uslugi/pokupaem_ferosplavypriem_loma_7837227242","7837227242")</f>
      </c>
      <c r="B63" t="s">
        <v>55</v>
      </c>
      <c r="C63" t="s">
        <v>49</v>
      </c>
      <c r="D63" t="s">
        <v>58</v>
      </c>
      <c r="E63" t="s">
        <v>33</v>
      </c>
      <c r="F63" t="s">
        <v>34</v>
      </c>
      <c r="G63" t="s">
        <v>35</v>
      </c>
      <c r="H63" s="3" t="str">
        <f>HYPERLINK("https://www.avito.ru/sankt-peterburg/uslugi/pokupaem_ferosplavypriem_loma_7837227242","Покупаем Феросплавы/прием лома")</f>
      </c>
      <c r="I63" t="s">
        <v>123</v>
      </c>
      <c r="J63" t="s">
        <v>60</v>
      </c>
      <c r="K63" t="s">
        <v>66</v>
      </c>
      <c r="L63">
        <v>45</v>
      </c>
      <c r="M63" t="s">
        <v>62</v>
      </c>
      <c r="N63">
        <v>23</v>
      </c>
      <c r="O63" s="4">
        <v>0.2608</v>
      </c>
      <c r="P63">
        <v>6</v>
      </c>
      <c r="Q63" s="5">
        <v>16.8</v>
      </c>
      <c r="R63" s="4">
        <v>0</v>
      </c>
      <c r="S63">
        <v>0</v>
      </c>
      <c r="T63">
        <v>0</v>
      </c>
      <c r="U63">
        <v>0</v>
      </c>
      <c r="V63">
        <v>0</v>
      </c>
      <c r="W63">
        <v>0</v>
      </c>
      <c r="X63" s="5" t="s">
        <v>83</v>
      </c>
      <c r="Y63">
        <v>1</v>
      </c>
      <c r="Z63" s="5">
        <v>100.8</v>
      </c>
      <c r="AA63" s="5">
        <v>0</v>
      </c>
      <c r="AB63" s="5">
        <v>100.8</v>
      </c>
      <c r="AC63" s="5">
        <v>0</v>
      </c>
      <c r="AD63" s="5">
        <v>0</v>
      </c>
    </row>
    <row r="64">
      <c r="A64" s="2" t="str">
        <f>HYPERLINK("https://www.avito.ru/velikiy_novgorod/uslugi/vyvoz_metalloloma_skupka_medi_sdat_med_7837695679","7837695679")</f>
      </c>
      <c r="B64" t="s">
        <v>43</v>
      </c>
      <c r="C64" t="s">
        <v>44</v>
      </c>
      <c r="D64" t="s">
        <v>45</v>
      </c>
      <c r="E64" t="s">
        <v>33</v>
      </c>
      <c r="F64" t="s">
        <v>34</v>
      </c>
      <c r="G64" t="s">
        <v>35</v>
      </c>
      <c r="H64" s="3" t="str">
        <f>HYPERLINK("https://www.avito.ru/velikiy_novgorod/uslugi/vyvoz_metalloloma_skupka_medi_sdat_med_7837695679","Вывоз металлолома, скупка меди, сдать медь")</f>
      </c>
      <c r="I64" t="s">
        <v>57</v>
      </c>
      <c r="J64" t="s">
        <v>37</v>
      </c>
      <c r="K64" t="s">
        <v>38</v>
      </c>
      <c r="L64">
        <v>44</v>
      </c>
      <c r="M64" t="s">
        <v>39</v>
      </c>
      <c r="N64">
        <v>26</v>
      </c>
      <c r="O64" s="4">
        <v>0.2307</v>
      </c>
      <c r="P64">
        <v>6</v>
      </c>
      <c r="Q64" s="5">
        <v>10.5</v>
      </c>
      <c r="R64" s="4">
        <v>0</v>
      </c>
      <c r="S64">
        <v>0</v>
      </c>
      <c r="T64">
        <v>0</v>
      </c>
      <c r="U64">
        <v>0</v>
      </c>
      <c r="V64">
        <v>0</v>
      </c>
      <c r="W64">
        <v>0</v>
      </c>
      <c r="X64" s="5" t="s">
        <v>83</v>
      </c>
      <c r="Y64">
        <v>0</v>
      </c>
      <c r="Z64" s="5">
        <v>63</v>
      </c>
      <c r="AA64" s="5">
        <v>0</v>
      </c>
      <c r="AB64" s="5">
        <v>63</v>
      </c>
      <c r="AC64" s="5">
        <v>0</v>
      </c>
      <c r="AD64" s="5">
        <v>0</v>
      </c>
    </row>
    <row r="65">
      <c r="A65" s="2" t="str">
        <f>HYPERLINK("https://www.avito.ru/sankt-peterburg/uslugi/sdat_reztsy_vktk_s_naplavkamipriem_loma_7837901257","7837901257")</f>
      </c>
      <c r="B65" t="s">
        <v>55</v>
      </c>
      <c r="C65" t="s">
        <v>49</v>
      </c>
      <c r="D65" t="s">
        <v>58</v>
      </c>
      <c r="E65" t="s">
        <v>33</v>
      </c>
      <c r="F65" t="s">
        <v>34</v>
      </c>
      <c r="G65" t="s">
        <v>35</v>
      </c>
      <c r="H65" s="3" t="str">
        <f>HYPERLINK("https://www.avito.ru/sankt-peterburg/uslugi/sdat_reztsy_vktk_s_naplavkamipriem_loma_7837901257","Сдать резцы вктк с наплавками/прием лома")</f>
      </c>
      <c r="I65" t="s">
        <v>124</v>
      </c>
      <c r="J65" t="s">
        <v>60</v>
      </c>
      <c r="K65" t="s">
        <v>66</v>
      </c>
      <c r="L65">
        <v>45</v>
      </c>
      <c r="M65" t="s">
        <v>62</v>
      </c>
      <c r="N65">
        <v>40</v>
      </c>
      <c r="O65" s="4">
        <v>0.15</v>
      </c>
      <c r="P65">
        <v>6</v>
      </c>
      <c r="Q65" s="5">
        <v>16.8</v>
      </c>
      <c r="R65" s="4">
        <v>0</v>
      </c>
      <c r="S65">
        <v>0</v>
      </c>
      <c r="T65">
        <v>0</v>
      </c>
      <c r="U65">
        <v>0</v>
      </c>
      <c r="V65">
        <v>0</v>
      </c>
      <c r="W65">
        <v>0</v>
      </c>
      <c r="X65" s="5" t="s">
        <v>83</v>
      </c>
      <c r="Y65">
        <v>0</v>
      </c>
      <c r="Z65" s="5">
        <v>100.8</v>
      </c>
      <c r="AA65" s="5">
        <v>0</v>
      </c>
      <c r="AB65" s="5">
        <v>100.8</v>
      </c>
      <c r="AC65" s="5">
        <v>0</v>
      </c>
      <c r="AD65" s="5">
        <v>0</v>
      </c>
    </row>
    <row r="66">
      <c r="A66" s="2" t="str">
        <f>HYPERLINK("https://www.avito.ru/arhangelsk/uslugi/priem_tsvetnogo_metalloloma_7869230512","7869230512")</f>
      </c>
      <c r="B66" t="s">
        <v>30</v>
      </c>
      <c r="C66" t="s">
        <v>31</v>
      </c>
      <c r="D66" t="s">
        <v>32</v>
      </c>
      <c r="E66" t="s">
        <v>33</v>
      </c>
      <c r="F66" t="s">
        <v>34</v>
      </c>
      <c r="G66" t="s">
        <v>35</v>
      </c>
      <c r="H66" s="3" t="str">
        <f>HYPERLINK("https://www.avito.ru/arhangelsk/uslugi/priem_tsvetnogo_metalloloma_7869230512","Прием цветного металлолома")</f>
      </c>
      <c r="I66" t="s">
        <v>101</v>
      </c>
      <c r="J66" t="s">
        <v>71</v>
      </c>
      <c r="K66" t="s">
        <v>72</v>
      </c>
      <c r="L66">
        <v>36</v>
      </c>
      <c r="M66" t="s">
        <v>39</v>
      </c>
      <c r="N66">
        <v>25</v>
      </c>
      <c r="O66" s="4">
        <v>0.24</v>
      </c>
      <c r="P66">
        <v>6</v>
      </c>
      <c r="Q66" s="5">
        <v>3.6</v>
      </c>
      <c r="R66" s="4">
        <v>0.1666</v>
      </c>
      <c r="S66">
        <v>1</v>
      </c>
      <c r="T66">
        <v>0</v>
      </c>
      <c r="U66">
        <v>1</v>
      </c>
      <c r="V66">
        <v>0</v>
      </c>
      <c r="W66">
        <v>0</v>
      </c>
      <c r="X66" s="5">
        <v>21.6</v>
      </c>
      <c r="Y66">
        <v>1</v>
      </c>
      <c r="Z66" s="5">
        <v>21.6</v>
      </c>
      <c r="AA66" s="5">
        <v>0</v>
      </c>
      <c r="AB66" s="5">
        <v>21.6</v>
      </c>
      <c r="AC66" s="5">
        <v>0</v>
      </c>
      <c r="AD66" s="5">
        <v>0</v>
      </c>
    </row>
    <row r="67">
      <c r="A67" s="2" t="str">
        <f>HYPERLINK("https://www.avito.ru/sankt-peterburg/uslugi/spektralnyy_analiz_sostava_metalla_7901077566","7901077566")</f>
      </c>
      <c r="B67" t="s">
        <v>55</v>
      </c>
      <c r="C67" t="s">
        <v>49</v>
      </c>
      <c r="D67" t="s">
        <v>125</v>
      </c>
      <c r="E67" t="s">
        <v>33</v>
      </c>
      <c r="F67" t="s">
        <v>34</v>
      </c>
      <c r="G67" t="s">
        <v>126</v>
      </c>
      <c r="H67" s="3" t="str">
        <f>HYPERLINK("https://www.avito.ru/sankt-peterburg/uslugi/spektralnyy_analiz_sostava_metalla_7901077566","Спектральный анализ состава металла")</f>
      </c>
      <c r="I67" t="s">
        <v>127</v>
      </c>
      <c r="J67" t="s">
        <v>128</v>
      </c>
      <c r="K67" t="s">
        <v>129</v>
      </c>
      <c r="L67">
        <v>28</v>
      </c>
      <c r="M67" t="s">
        <v>83</v>
      </c>
      <c r="N67">
        <v>41</v>
      </c>
      <c r="O67" s="4">
        <v>0.1463</v>
      </c>
      <c r="P67">
        <v>6</v>
      </c>
      <c r="Q67" s="5">
        <v>22.66</v>
      </c>
      <c r="R67" s="4">
        <v>0</v>
      </c>
      <c r="S67">
        <v>0</v>
      </c>
      <c r="T67">
        <v>0</v>
      </c>
      <c r="U67">
        <v>0</v>
      </c>
      <c r="V67">
        <v>0</v>
      </c>
      <c r="W67">
        <v>0</v>
      </c>
      <c r="X67" s="5" t="s">
        <v>83</v>
      </c>
      <c r="Y67">
        <v>1</v>
      </c>
      <c r="Z67" s="5">
        <v>136.01</v>
      </c>
      <c r="AA67" s="5">
        <v>0</v>
      </c>
      <c r="AB67" s="5">
        <v>136.01</v>
      </c>
      <c r="AC67" s="5">
        <v>0</v>
      </c>
      <c r="AD67" s="5">
        <v>0</v>
      </c>
    </row>
    <row r="68">
      <c r="A68" s="2" t="str">
        <f>HYPERLINK("https://www.avito.ru/volosovo/uslugi/priem_metalloloma_vyvoz_metalloloma_demontazh_7901915394","7901915394")</f>
      </c>
      <c r="B68" t="s">
        <v>116</v>
      </c>
      <c r="C68" t="s">
        <v>130</v>
      </c>
      <c r="D68" t="s">
        <v>130</v>
      </c>
      <c r="E68" t="s">
        <v>33</v>
      </c>
      <c r="F68" t="s">
        <v>34</v>
      </c>
      <c r="G68" t="s">
        <v>35</v>
      </c>
      <c r="H68" s="3" t="str">
        <f>HYPERLINK("https://www.avito.ru/volosovo/uslugi/priem_metalloloma_vyvoz_metalloloma_demontazh_7901915394","Прием металлолома / вывоз металлолома / демонтаж")</f>
      </c>
      <c r="I68" t="s">
        <v>64</v>
      </c>
      <c r="J68" t="s">
        <v>131</v>
      </c>
      <c r="K68" t="s">
        <v>132</v>
      </c>
      <c r="L68">
        <v>27</v>
      </c>
      <c r="M68" t="s">
        <v>83</v>
      </c>
      <c r="N68">
        <v>6</v>
      </c>
      <c r="O68" s="4">
        <v>0.8333</v>
      </c>
      <c r="P68">
        <v>5</v>
      </c>
      <c r="Q68" s="5">
        <v>15.12</v>
      </c>
      <c r="R68" s="4">
        <v>0.2</v>
      </c>
      <c r="S68">
        <v>1</v>
      </c>
      <c r="T68">
        <v>1</v>
      </c>
      <c r="U68">
        <v>0</v>
      </c>
      <c r="V68">
        <v>0</v>
      </c>
      <c r="W68">
        <v>0</v>
      </c>
      <c r="X68" s="5">
        <v>75.6</v>
      </c>
      <c r="Y68">
        <v>1</v>
      </c>
      <c r="Z68" s="5">
        <v>75.6</v>
      </c>
      <c r="AA68" s="5">
        <v>0</v>
      </c>
      <c r="AB68" s="5">
        <v>75.6</v>
      </c>
      <c r="AC68" s="5">
        <v>0</v>
      </c>
      <c r="AD68" s="5">
        <v>0</v>
      </c>
    </row>
    <row r="69">
      <c r="A69" s="2" t="str">
        <f>HYPERLINK("https://www.avito.ru/sankt-peterburg/uslugi/priem_metalloloma._nerzhaveyka_bu_7805260301","7805260301")</f>
      </c>
      <c r="B69" t="s">
        <v>55</v>
      </c>
      <c r="C69" t="s">
        <v>49</v>
      </c>
      <c r="D69" t="s">
        <v>133</v>
      </c>
      <c r="E69" t="s">
        <v>33</v>
      </c>
      <c r="F69" t="s">
        <v>34</v>
      </c>
      <c r="G69" t="s">
        <v>35</v>
      </c>
      <c r="H69" s="3" t="str">
        <f>HYPERLINK("https://www.avito.ru/sankt-peterburg/uslugi/priem_metalloloma._nerzhaveyka_bu_7805260301","Прием металлолома. Нержавейка бу")</f>
      </c>
      <c r="I69" t="s">
        <v>134</v>
      </c>
      <c r="J69" t="s">
        <v>53</v>
      </c>
      <c r="K69" t="s">
        <v>54</v>
      </c>
      <c r="L69">
        <v>71</v>
      </c>
      <c r="M69" t="s">
        <v>39</v>
      </c>
      <c r="N69">
        <v>12</v>
      </c>
      <c r="O69" s="4">
        <v>0.3333</v>
      </c>
      <c r="P69">
        <v>4</v>
      </c>
      <c r="Q69" s="5">
        <v>25.2</v>
      </c>
      <c r="R69" s="4">
        <v>0</v>
      </c>
      <c r="S69">
        <v>0</v>
      </c>
      <c r="T69">
        <v>0</v>
      </c>
      <c r="U69">
        <v>0</v>
      </c>
      <c r="V69">
        <v>0</v>
      </c>
      <c r="W69">
        <v>0</v>
      </c>
      <c r="X69" s="5" t="s">
        <v>83</v>
      </c>
      <c r="Y69">
        <v>0</v>
      </c>
      <c r="Z69" s="5">
        <v>100.8</v>
      </c>
      <c r="AA69" s="5">
        <v>0</v>
      </c>
      <c r="AB69" s="5">
        <v>100.8</v>
      </c>
      <c r="AC69" s="5">
        <v>0</v>
      </c>
      <c r="AD69" s="5">
        <v>0</v>
      </c>
    </row>
    <row r="70">
      <c r="A70" s="2" t="str">
        <f>HYPERLINK("https://www.avito.ru/sankt-peterburg_kronstadt/uslugi/priem_bu_akkumulyatorov_akb_7805525534","7805525534")</f>
      </c>
      <c r="B70" t="s">
        <v>49</v>
      </c>
      <c r="C70" t="s">
        <v>103</v>
      </c>
      <c r="D70" t="s">
        <v>104</v>
      </c>
      <c r="E70" t="s">
        <v>33</v>
      </c>
      <c r="F70" t="s">
        <v>34</v>
      </c>
      <c r="G70" t="s">
        <v>35</v>
      </c>
      <c r="H70" s="3" t="str">
        <f>HYPERLINK("https://www.avito.ru/sankt-peterburg_kronstadt/uslugi/priem_bu_akkumulyatorov_akb_7805525534","Прием бу аккумуляторов АКБ")</f>
      </c>
      <c r="I70" t="s">
        <v>52</v>
      </c>
      <c r="J70" t="s">
        <v>53</v>
      </c>
      <c r="K70" t="s">
        <v>54</v>
      </c>
      <c r="L70">
        <v>71</v>
      </c>
      <c r="M70" t="s">
        <v>39</v>
      </c>
      <c r="N70">
        <v>29</v>
      </c>
      <c r="O70" s="4">
        <v>0.1379</v>
      </c>
      <c r="P70">
        <v>4</v>
      </c>
      <c r="Q70" s="5">
        <v>25.2</v>
      </c>
      <c r="R70" s="4">
        <v>0</v>
      </c>
      <c r="S70">
        <v>0</v>
      </c>
      <c r="T70">
        <v>0</v>
      </c>
      <c r="U70">
        <v>0</v>
      </c>
      <c r="V70">
        <v>0</v>
      </c>
      <c r="W70">
        <v>0</v>
      </c>
      <c r="X70" s="5" t="s">
        <v>83</v>
      </c>
      <c r="Y70">
        <v>0</v>
      </c>
      <c r="Z70" s="5">
        <v>100.8</v>
      </c>
      <c r="AA70" s="5">
        <v>0</v>
      </c>
      <c r="AB70" s="5">
        <v>100.8</v>
      </c>
      <c r="AC70" s="5">
        <v>0</v>
      </c>
      <c r="AD70" s="5">
        <v>0</v>
      </c>
    </row>
    <row r="71">
      <c r="A71" s="2" t="str">
        <f>HYPERLINK("https://www.avito.ru/sankt-peterburg/uslugi/priem_tsvetnogo_metalloloma_7805849015","7805849015")</f>
      </c>
      <c r="B71" t="s">
        <v>55</v>
      </c>
      <c r="C71" t="s">
        <v>49</v>
      </c>
      <c r="D71" t="s">
        <v>135</v>
      </c>
      <c r="E71" t="s">
        <v>33</v>
      </c>
      <c r="F71" t="s">
        <v>34</v>
      </c>
      <c r="G71" t="s">
        <v>35</v>
      </c>
      <c r="H71" s="3" t="str">
        <f>HYPERLINK("https://www.avito.ru/sankt-peterburg/uslugi/priem_tsvetnogo_metalloloma_7805849015","Прием цветного металлолома")</f>
      </c>
      <c r="I71" t="s">
        <v>136</v>
      </c>
      <c r="J71" t="s">
        <v>53</v>
      </c>
      <c r="K71" t="s">
        <v>54</v>
      </c>
      <c r="L71">
        <v>71</v>
      </c>
      <c r="M71" t="s">
        <v>39</v>
      </c>
      <c r="N71">
        <v>10</v>
      </c>
      <c r="O71" s="4">
        <v>0.4</v>
      </c>
      <c r="P71">
        <v>4</v>
      </c>
      <c r="Q71" s="5">
        <v>25.2</v>
      </c>
      <c r="R71" s="4">
        <v>0.25</v>
      </c>
      <c r="S71">
        <v>1</v>
      </c>
      <c r="T71">
        <v>0</v>
      </c>
      <c r="U71">
        <v>1</v>
      </c>
      <c r="V71">
        <v>0</v>
      </c>
      <c r="W71">
        <v>0</v>
      </c>
      <c r="X71" s="5">
        <v>100.8</v>
      </c>
      <c r="Y71">
        <v>0</v>
      </c>
      <c r="Z71" s="5">
        <v>100.8</v>
      </c>
      <c r="AA71" s="5">
        <v>0</v>
      </c>
      <c r="AB71" s="5">
        <v>100.8</v>
      </c>
      <c r="AC71" s="5">
        <v>0</v>
      </c>
      <c r="AD71" s="5">
        <v>0</v>
      </c>
    </row>
    <row r="72">
      <c r="A72" s="2" t="str">
        <f>HYPERLINK("https://www.avito.ru/sankt-peterburg_sestroretsk/uslugi/skupka_radiodetaley_plat_priborov_7805915116","7805915116")</f>
      </c>
      <c r="B72" t="s">
        <v>49</v>
      </c>
      <c r="C72" t="s">
        <v>106</v>
      </c>
      <c r="D72" t="s">
        <v>107</v>
      </c>
      <c r="E72" t="s">
        <v>33</v>
      </c>
      <c r="F72" t="s">
        <v>34</v>
      </c>
      <c r="G72" t="s">
        <v>35</v>
      </c>
      <c r="H72" s="3" t="str">
        <f>HYPERLINK("https://www.avito.ru/sankt-peterburg_sestroretsk/uslugi/skupka_radiodetaley_plat_priborov_7805915116","Скупка радиодеталей / плат / приборов")</f>
      </c>
      <c r="I72" t="s">
        <v>137</v>
      </c>
      <c r="J72" t="s">
        <v>53</v>
      </c>
      <c r="K72" t="s">
        <v>54</v>
      </c>
      <c r="L72">
        <v>71</v>
      </c>
      <c r="M72" t="s">
        <v>39</v>
      </c>
      <c r="N72">
        <v>15</v>
      </c>
      <c r="O72" s="4">
        <v>0.2666</v>
      </c>
      <c r="P72">
        <v>4</v>
      </c>
      <c r="Q72" s="5">
        <v>25.2</v>
      </c>
      <c r="R72" s="4">
        <v>0</v>
      </c>
      <c r="S72">
        <v>0</v>
      </c>
      <c r="T72">
        <v>0</v>
      </c>
      <c r="U72">
        <v>0</v>
      </c>
      <c r="V72">
        <v>0</v>
      </c>
      <c r="W72">
        <v>0</v>
      </c>
      <c r="X72" s="5" t="s">
        <v>83</v>
      </c>
      <c r="Y72">
        <v>0</v>
      </c>
      <c r="Z72" s="5">
        <v>100.8</v>
      </c>
      <c r="AA72" s="5">
        <v>0</v>
      </c>
      <c r="AB72" s="5">
        <v>100.8</v>
      </c>
      <c r="AC72" s="5">
        <v>0</v>
      </c>
      <c r="AD72" s="5">
        <v>0</v>
      </c>
    </row>
    <row r="73">
      <c r="A73" s="2" t="str">
        <f>HYPERLINK("https://www.avito.ru/sankt-peterburg/uslugi/skupka_volframa_provolokasdat_volfram_7836991577","7836991577")</f>
      </c>
      <c r="B73" t="s">
        <v>55</v>
      </c>
      <c r="C73" t="s">
        <v>49</v>
      </c>
      <c r="D73" t="s">
        <v>138</v>
      </c>
      <c r="E73" t="s">
        <v>33</v>
      </c>
      <c r="F73" t="s">
        <v>34</v>
      </c>
      <c r="G73" t="s">
        <v>35</v>
      </c>
      <c r="H73" s="3" t="str">
        <f>HYPERLINK("https://www.avito.ru/sankt-peterburg/uslugi/skupka_volframa_provolokasdat_volfram_7836991577","Скупка Вольфрама проволока/сдать вольфрам")</f>
      </c>
      <c r="I73" t="s">
        <v>139</v>
      </c>
      <c r="J73" t="s">
        <v>60</v>
      </c>
      <c r="K73" t="s">
        <v>61</v>
      </c>
      <c r="L73">
        <v>45</v>
      </c>
      <c r="M73" t="s">
        <v>62</v>
      </c>
      <c r="N73">
        <v>17</v>
      </c>
      <c r="O73" s="4">
        <v>0.2352</v>
      </c>
      <c r="P73">
        <v>4</v>
      </c>
      <c r="Q73" s="5">
        <v>25.2</v>
      </c>
      <c r="R73" s="4">
        <v>0.25</v>
      </c>
      <c r="S73">
        <v>1</v>
      </c>
      <c r="T73">
        <v>0</v>
      </c>
      <c r="U73">
        <v>1</v>
      </c>
      <c r="V73">
        <v>0</v>
      </c>
      <c r="W73">
        <v>0</v>
      </c>
      <c r="X73" s="5">
        <v>100.8</v>
      </c>
      <c r="Y73">
        <v>0</v>
      </c>
      <c r="Z73" s="5">
        <v>100.8</v>
      </c>
      <c r="AA73" s="5">
        <v>0</v>
      </c>
      <c r="AB73" s="5">
        <v>100.8</v>
      </c>
      <c r="AC73" s="5">
        <v>0</v>
      </c>
      <c r="AD73" s="5">
        <v>0</v>
      </c>
    </row>
    <row r="74">
      <c r="A74" s="2" t="str">
        <f>HYPERLINK("https://www.avito.ru/sankt-peterburg/uslugi/sdat_surmulom_surmypriem_loma_7837033412","7837033412")</f>
      </c>
      <c r="B74" t="s">
        <v>55</v>
      </c>
      <c r="C74" t="s">
        <v>49</v>
      </c>
      <c r="D74" t="s">
        <v>58</v>
      </c>
      <c r="E74" t="s">
        <v>33</v>
      </c>
      <c r="F74" t="s">
        <v>34</v>
      </c>
      <c r="G74" t="s">
        <v>35</v>
      </c>
      <c r="H74" s="3" t="str">
        <f>HYPERLINK("https://www.avito.ru/sankt-peterburg/uslugi/sdat_surmulom_surmypriem_loma_7837033412","Сдать сурьму/лом сурьмы/прием лома")</f>
      </c>
      <c r="I74" t="s">
        <v>140</v>
      </c>
      <c r="J74" t="s">
        <v>60</v>
      </c>
      <c r="K74" t="s">
        <v>66</v>
      </c>
      <c r="L74">
        <v>45</v>
      </c>
      <c r="M74" t="s">
        <v>62</v>
      </c>
      <c r="N74">
        <v>16</v>
      </c>
      <c r="O74" s="4">
        <v>0.25</v>
      </c>
      <c r="P74">
        <v>4</v>
      </c>
      <c r="Q74" s="5">
        <v>25.2</v>
      </c>
      <c r="R74" s="4">
        <v>0</v>
      </c>
      <c r="S74">
        <v>0</v>
      </c>
      <c r="T74">
        <v>0</v>
      </c>
      <c r="U74">
        <v>0</v>
      </c>
      <c r="V74">
        <v>0</v>
      </c>
      <c r="W74">
        <v>0</v>
      </c>
      <c r="X74" s="5" t="s">
        <v>83</v>
      </c>
      <c r="Y74">
        <v>1</v>
      </c>
      <c r="Z74" s="5">
        <v>100.8</v>
      </c>
      <c r="AA74" s="5">
        <v>0</v>
      </c>
      <c r="AB74" s="5">
        <v>100.8</v>
      </c>
      <c r="AC74" s="5">
        <v>0</v>
      </c>
      <c r="AD74" s="5">
        <v>0</v>
      </c>
    </row>
    <row r="75">
      <c r="A75" s="2" t="str">
        <f>HYPERLINK("https://www.avito.ru/sankt-peterburg/uslugi/sdat_lom_tsinkapriem_tsinkapriem_loma_7837212042","7837212042")</f>
      </c>
      <c r="B75" t="s">
        <v>55</v>
      </c>
      <c r="C75" t="s">
        <v>49</v>
      </c>
      <c r="D75" t="s">
        <v>58</v>
      </c>
      <c r="E75" t="s">
        <v>33</v>
      </c>
      <c r="F75" t="s">
        <v>34</v>
      </c>
      <c r="G75" t="s">
        <v>35</v>
      </c>
      <c r="H75" s="3" t="str">
        <f>HYPERLINK("https://www.avito.ru/sankt-peterburg/uslugi/sdat_lom_tsinkapriem_tsinkapriem_loma_7837212042","Сдать лом цинка/прием цинка/прием лома")</f>
      </c>
      <c r="I75" t="s">
        <v>141</v>
      </c>
      <c r="J75" t="s">
        <v>60</v>
      </c>
      <c r="K75" t="s">
        <v>66</v>
      </c>
      <c r="L75">
        <v>45</v>
      </c>
      <c r="M75" t="s">
        <v>62</v>
      </c>
      <c r="N75">
        <v>16</v>
      </c>
      <c r="O75" s="4">
        <v>0.25</v>
      </c>
      <c r="P75">
        <v>4</v>
      </c>
      <c r="Q75" s="5">
        <v>25.2</v>
      </c>
      <c r="R75" s="4">
        <v>0</v>
      </c>
      <c r="S75">
        <v>0</v>
      </c>
      <c r="T75">
        <v>0</v>
      </c>
      <c r="U75">
        <v>0</v>
      </c>
      <c r="V75">
        <v>0</v>
      </c>
      <c r="W75">
        <v>0</v>
      </c>
      <c r="X75" s="5" t="s">
        <v>83</v>
      </c>
      <c r="Y75">
        <v>0</v>
      </c>
      <c r="Z75" s="5">
        <v>100.8</v>
      </c>
      <c r="AA75" s="5">
        <v>0</v>
      </c>
      <c r="AB75" s="5">
        <v>100.8</v>
      </c>
      <c r="AC75" s="5">
        <v>0</v>
      </c>
      <c r="AD75" s="5">
        <v>0</v>
      </c>
    </row>
    <row r="76">
      <c r="A76" s="2" t="str">
        <f>HYPERLINK("https://www.avito.ru/sankt-peterburg/uslugi/priem_niobiyaskupka_niobiyaskupka_loma_7837529524","7837529524")</f>
      </c>
      <c r="B76" t="s">
        <v>55</v>
      </c>
      <c r="C76" t="s">
        <v>49</v>
      </c>
      <c r="D76" t="s">
        <v>142</v>
      </c>
      <c r="E76" t="s">
        <v>33</v>
      </c>
      <c r="F76" t="s">
        <v>34</v>
      </c>
      <c r="G76" t="s">
        <v>35</v>
      </c>
      <c r="H76" s="3" t="str">
        <f>HYPERLINK("https://www.avito.ru/sankt-peterburg/uslugi/priem_niobiyaskupka_niobiyaskupka_loma_7837529524","Прием ниобия/скупка ниобия/скупка лома")</f>
      </c>
      <c r="I76" t="s">
        <v>139</v>
      </c>
      <c r="J76" t="s">
        <v>60</v>
      </c>
      <c r="K76" t="s">
        <v>66</v>
      </c>
      <c r="L76">
        <v>45</v>
      </c>
      <c r="M76" t="s">
        <v>62</v>
      </c>
      <c r="N76">
        <v>23</v>
      </c>
      <c r="O76" s="4">
        <v>0.1739</v>
      </c>
      <c r="P76">
        <v>4</v>
      </c>
      <c r="Q76" s="5">
        <v>25.2</v>
      </c>
      <c r="R76" s="4">
        <v>0</v>
      </c>
      <c r="S76">
        <v>0</v>
      </c>
      <c r="T76">
        <v>0</v>
      </c>
      <c r="U76">
        <v>0</v>
      </c>
      <c r="V76">
        <v>0</v>
      </c>
      <c r="W76">
        <v>0</v>
      </c>
      <c r="X76" s="5" t="s">
        <v>83</v>
      </c>
      <c r="Y76">
        <v>0</v>
      </c>
      <c r="Z76" s="5">
        <v>100.8</v>
      </c>
      <c r="AA76" s="5">
        <v>0</v>
      </c>
      <c r="AB76" s="5">
        <v>100.8</v>
      </c>
      <c r="AC76" s="5">
        <v>0</v>
      </c>
      <c r="AD76" s="5">
        <v>0</v>
      </c>
    </row>
    <row r="77">
      <c r="A77" s="2" t="str">
        <f>HYPERLINK("https://www.avito.ru/sankt-peterburg/uslugi/sdat_struzhku_volframasdat_volfram_7837884228","7837884228")</f>
      </c>
      <c r="B77" t="s">
        <v>55</v>
      </c>
      <c r="C77" t="s">
        <v>49</v>
      </c>
      <c r="D77" t="s">
        <v>138</v>
      </c>
      <c r="E77" t="s">
        <v>33</v>
      </c>
      <c r="F77" t="s">
        <v>34</v>
      </c>
      <c r="G77" t="s">
        <v>35</v>
      </c>
      <c r="H77" s="3" t="str">
        <f>HYPERLINK("https://www.avito.ru/sankt-peterburg/uslugi/sdat_struzhku_volframasdat_volfram_7837884228","Сдать стружку Вольфрама/сдать вольфрам")</f>
      </c>
      <c r="I77" t="s">
        <v>139</v>
      </c>
      <c r="J77" t="s">
        <v>60</v>
      </c>
      <c r="K77" t="s">
        <v>66</v>
      </c>
      <c r="L77">
        <v>45</v>
      </c>
      <c r="M77" t="s">
        <v>62</v>
      </c>
      <c r="N77">
        <v>29</v>
      </c>
      <c r="O77" s="4">
        <v>0.1379</v>
      </c>
      <c r="P77">
        <v>4</v>
      </c>
      <c r="Q77" s="5">
        <v>25.2</v>
      </c>
      <c r="R77" s="4">
        <v>0</v>
      </c>
      <c r="S77">
        <v>0</v>
      </c>
      <c r="T77">
        <v>0</v>
      </c>
      <c r="U77">
        <v>0</v>
      </c>
      <c r="V77">
        <v>0</v>
      </c>
      <c r="W77">
        <v>0</v>
      </c>
      <c r="X77" s="5" t="s">
        <v>83</v>
      </c>
      <c r="Y77">
        <v>1</v>
      </c>
      <c r="Z77" s="5">
        <v>100.8</v>
      </c>
      <c r="AA77" s="5">
        <v>0</v>
      </c>
      <c r="AB77" s="5">
        <v>100.8</v>
      </c>
      <c r="AC77" s="5">
        <v>0</v>
      </c>
      <c r="AD77" s="5">
        <v>0</v>
      </c>
    </row>
    <row r="78">
      <c r="A78" s="2" t="str">
        <f>HYPERLINK("https://www.avito.ru/sankt-peterburg/uslugi/priem_metalloloma_vyvoz_metalloloma_demontazh_7901863406","7901863406")</f>
      </c>
      <c r="B78" t="s">
        <v>55</v>
      </c>
      <c r="C78" t="s">
        <v>49</v>
      </c>
      <c r="D78" t="s">
        <v>143</v>
      </c>
      <c r="E78" t="s">
        <v>33</v>
      </c>
      <c r="F78" t="s">
        <v>34</v>
      </c>
      <c r="G78" t="s">
        <v>35</v>
      </c>
      <c r="H78" s="3" t="str">
        <f>HYPERLINK("https://www.avito.ru/sankt-peterburg/uslugi/priem_metalloloma_vyvoz_metalloloma_demontazh_7901863406","Прием металлолома / вывоз металлолома / демонтаж")</f>
      </c>
      <c r="I78" t="s">
        <v>64</v>
      </c>
      <c r="J78" t="s">
        <v>131</v>
      </c>
      <c r="K78" t="s">
        <v>132</v>
      </c>
      <c r="L78">
        <v>27</v>
      </c>
      <c r="M78" t="s">
        <v>83</v>
      </c>
      <c r="N78">
        <v>30</v>
      </c>
      <c r="O78" s="4">
        <v>0.1333</v>
      </c>
      <c r="P78">
        <v>4</v>
      </c>
      <c r="Q78" s="5">
        <v>25.2</v>
      </c>
      <c r="R78" s="4">
        <v>0</v>
      </c>
      <c r="S78">
        <v>0</v>
      </c>
      <c r="T78">
        <v>0</v>
      </c>
      <c r="U78">
        <v>0</v>
      </c>
      <c r="V78">
        <v>0</v>
      </c>
      <c r="W78">
        <v>0</v>
      </c>
      <c r="X78" s="5" t="s">
        <v>83</v>
      </c>
      <c r="Y78">
        <v>1</v>
      </c>
      <c r="Z78" s="5">
        <v>100.8</v>
      </c>
      <c r="AA78" s="5">
        <v>0</v>
      </c>
      <c r="AB78" s="5">
        <v>100.8</v>
      </c>
      <c r="AC78" s="5">
        <v>0</v>
      </c>
      <c r="AD78" s="5">
        <v>0</v>
      </c>
    </row>
    <row r="79">
      <c r="A79" s="2" t="str">
        <f>HYPERLINK("https://www.avito.ru/vyborg/uslugi/sdat_metallolom_spb_i_lo_7805045884","7805045884")</f>
      </c>
      <c r="B79" t="s">
        <v>116</v>
      </c>
      <c r="C79" t="s">
        <v>144</v>
      </c>
      <c r="D79" t="s">
        <v>145</v>
      </c>
      <c r="E79" t="s">
        <v>33</v>
      </c>
      <c r="F79" t="s">
        <v>34</v>
      </c>
      <c r="G79" t="s">
        <v>35</v>
      </c>
      <c r="H79" s="3" t="str">
        <f>HYPERLINK("https://www.avito.ru/vyborg/uslugi/sdat_metallolom_spb_i_lo_7805045884","Сдать металлолом СПБ и ло")</f>
      </c>
      <c r="I79" t="s">
        <v>146</v>
      </c>
      <c r="J79" t="s">
        <v>53</v>
      </c>
      <c r="K79" t="s">
        <v>118</v>
      </c>
      <c r="L79">
        <v>71</v>
      </c>
      <c r="M79" t="s">
        <v>39</v>
      </c>
      <c r="N79">
        <v>9</v>
      </c>
      <c r="O79" s="4">
        <v>0.3333</v>
      </c>
      <c r="P79">
        <v>3</v>
      </c>
      <c r="Q79" s="5">
        <v>7.2</v>
      </c>
      <c r="R79" s="4">
        <v>0</v>
      </c>
      <c r="S79">
        <v>0</v>
      </c>
      <c r="T79">
        <v>0</v>
      </c>
      <c r="U79">
        <v>0</v>
      </c>
      <c r="V79">
        <v>0</v>
      </c>
      <c r="W79">
        <v>0</v>
      </c>
      <c r="X79" s="5" t="s">
        <v>83</v>
      </c>
      <c r="Y79">
        <v>0</v>
      </c>
      <c r="Z79" s="5">
        <v>21.6</v>
      </c>
      <c r="AA79" s="5">
        <v>0</v>
      </c>
      <c r="AB79" s="5">
        <v>21.6</v>
      </c>
      <c r="AC79" s="5">
        <v>0</v>
      </c>
      <c r="AD79" s="5">
        <v>0</v>
      </c>
    </row>
    <row r="80">
      <c r="A80" s="2" t="str">
        <f>HYPERLINK("https://www.avito.ru/leningradskaya_oblast_lebyazhe/uslugi/priem_metalloloma_vyvoz_metalloloma_demontazh_7805241115","7805241115")</f>
      </c>
      <c r="B80" t="s">
        <v>116</v>
      </c>
      <c r="C80" t="s">
        <v>147</v>
      </c>
      <c r="D80" t="s">
        <v>148</v>
      </c>
      <c r="E80" t="s">
        <v>33</v>
      </c>
      <c r="F80" t="s">
        <v>34</v>
      </c>
      <c r="G80" t="s">
        <v>35</v>
      </c>
      <c r="H80" s="3" t="str">
        <f>HYPERLINK("https://www.avito.ru/leningradskaya_oblast_lebyazhe/uslugi/priem_metalloloma_vyvoz_metalloloma_demontazh_7805241115","Прием металлолома / вывоз металлолома / демонтаж")</f>
      </c>
      <c r="I80" t="s">
        <v>111</v>
      </c>
      <c r="J80" t="s">
        <v>53</v>
      </c>
      <c r="K80" t="s">
        <v>149</v>
      </c>
      <c r="L80">
        <v>71</v>
      </c>
      <c r="M80" t="s">
        <v>39</v>
      </c>
      <c r="N80">
        <v>3</v>
      </c>
      <c r="O80" s="4">
        <v>1</v>
      </c>
      <c r="P80">
        <v>3</v>
      </c>
      <c r="Q80" s="5">
        <v>18</v>
      </c>
      <c r="R80" s="4">
        <v>0</v>
      </c>
      <c r="S80">
        <v>0</v>
      </c>
      <c r="T80">
        <v>0</v>
      </c>
      <c r="U80">
        <v>0</v>
      </c>
      <c r="V80">
        <v>0</v>
      </c>
      <c r="W80">
        <v>0</v>
      </c>
      <c r="X80" s="5" t="s">
        <v>83</v>
      </c>
      <c r="Y80">
        <v>0</v>
      </c>
      <c r="Z80" s="5">
        <v>54</v>
      </c>
      <c r="AA80" s="5">
        <v>0</v>
      </c>
      <c r="AB80" s="5">
        <v>54</v>
      </c>
      <c r="AC80" s="5">
        <v>0</v>
      </c>
      <c r="AD80" s="5">
        <v>0</v>
      </c>
    </row>
    <row r="81">
      <c r="A81" s="2" t="str">
        <f>HYPERLINK("https://www.avito.ru/sankt-peterburg/uslugi/sdat_babbitbabbit_b16sdat_lom_7837033801","7837033801")</f>
      </c>
      <c r="B81" t="s">
        <v>55</v>
      </c>
      <c r="C81" t="s">
        <v>49</v>
      </c>
      <c r="D81" t="s">
        <v>49</v>
      </c>
      <c r="E81" t="s">
        <v>33</v>
      </c>
      <c r="F81" t="s">
        <v>34</v>
      </c>
      <c r="G81" t="s">
        <v>35</v>
      </c>
      <c r="H81" s="3" t="str">
        <f>HYPERLINK("https://www.avito.ru/sankt-peterburg/uslugi/sdat_babbitbabbit_b16sdat_lom_7837033801","Сдать Баббит/Баббит Б16/сдать лом")</f>
      </c>
      <c r="I81" t="s">
        <v>150</v>
      </c>
      <c r="J81" t="s">
        <v>60</v>
      </c>
      <c r="K81" t="s">
        <v>66</v>
      </c>
      <c r="L81">
        <v>45</v>
      </c>
      <c r="M81" t="s">
        <v>62</v>
      </c>
      <c r="N81">
        <v>6</v>
      </c>
      <c r="O81" s="4">
        <v>0.5</v>
      </c>
      <c r="P81">
        <v>3</v>
      </c>
      <c r="Q81" s="5">
        <v>33.6</v>
      </c>
      <c r="R81" s="4">
        <v>0</v>
      </c>
      <c r="S81">
        <v>0</v>
      </c>
      <c r="T81">
        <v>0</v>
      </c>
      <c r="U81">
        <v>0</v>
      </c>
      <c r="V81">
        <v>0</v>
      </c>
      <c r="W81">
        <v>0</v>
      </c>
      <c r="X81" s="5" t="s">
        <v>83</v>
      </c>
      <c r="Y81">
        <v>0</v>
      </c>
      <c r="Z81" s="5">
        <v>100.8</v>
      </c>
      <c r="AA81" s="5">
        <v>0</v>
      </c>
      <c r="AB81" s="5">
        <v>100.8</v>
      </c>
      <c r="AC81" s="5">
        <v>0</v>
      </c>
      <c r="AD81" s="5">
        <v>0</v>
      </c>
    </row>
    <row r="82">
      <c r="A82" s="2" t="str">
        <f>HYPERLINK("https://www.avito.ru/velikiy_novgorod/uslugi/priem_alyuminiya.priem_metalloloma.vyvoz_7837165853","7837165853")</f>
      </c>
      <c r="B82" t="s">
        <v>43</v>
      </c>
      <c r="C82" t="s">
        <v>44</v>
      </c>
      <c r="D82" t="s">
        <v>45</v>
      </c>
      <c r="E82" t="s">
        <v>33</v>
      </c>
      <c r="F82" t="s">
        <v>34</v>
      </c>
      <c r="G82" t="s">
        <v>35</v>
      </c>
      <c r="H82" s="3" t="str">
        <f>HYPERLINK("https://www.avito.ru/velikiy_novgorod/uslugi/priem_alyuminiya.priem_metalloloma.vyvoz_7837165853","Прием алюминия.Прием металлолома.Вывоз")</f>
      </c>
      <c r="I82" t="s">
        <v>115</v>
      </c>
      <c r="J82" t="s">
        <v>37</v>
      </c>
      <c r="K82" t="s">
        <v>38</v>
      </c>
      <c r="L82">
        <v>44</v>
      </c>
      <c r="M82" t="s">
        <v>39</v>
      </c>
      <c r="N82">
        <v>30</v>
      </c>
      <c r="O82" s="4">
        <v>0.1</v>
      </c>
      <c r="P82">
        <v>3</v>
      </c>
      <c r="Q82" s="5">
        <v>21</v>
      </c>
      <c r="R82" s="4">
        <v>0</v>
      </c>
      <c r="S82">
        <v>0</v>
      </c>
      <c r="T82">
        <v>0</v>
      </c>
      <c r="U82">
        <v>0</v>
      </c>
      <c r="V82">
        <v>0</v>
      </c>
      <c r="W82">
        <v>0</v>
      </c>
      <c r="X82" s="5" t="s">
        <v>83</v>
      </c>
      <c r="Y82">
        <v>0</v>
      </c>
      <c r="Z82" s="5">
        <v>63</v>
      </c>
      <c r="AA82" s="5">
        <v>0</v>
      </c>
      <c r="AB82" s="5">
        <v>63</v>
      </c>
      <c r="AC82" s="5">
        <v>0</v>
      </c>
      <c r="AD82" s="5">
        <v>0</v>
      </c>
    </row>
    <row r="83">
      <c r="A83" s="2" t="str">
        <f>HYPERLINK("https://www.avito.ru/petrozavodsk/uslugi/vyvoz_metalloloma_nerzhaveyka_bu_7837580977","7837580977")</f>
      </c>
      <c r="B83" t="s">
        <v>46</v>
      </c>
      <c r="C83" t="s">
        <v>47</v>
      </c>
      <c r="D83" t="s">
        <v>48</v>
      </c>
      <c r="E83" t="s">
        <v>33</v>
      </c>
      <c r="F83" t="s">
        <v>34</v>
      </c>
      <c r="G83" t="s">
        <v>35</v>
      </c>
      <c r="H83" s="3" t="str">
        <f>HYPERLINK("https://www.avito.ru/petrozavodsk/uslugi/vyvoz_metalloloma_nerzhaveyka_bu_7837580977","Вывоз металлолома / нержавейка бу")</f>
      </c>
      <c r="I83" t="s">
        <v>136</v>
      </c>
      <c r="J83" t="s">
        <v>37</v>
      </c>
      <c r="K83" t="s">
        <v>38</v>
      </c>
      <c r="L83">
        <v>44</v>
      </c>
      <c r="M83" t="s">
        <v>39</v>
      </c>
      <c r="N83">
        <v>16</v>
      </c>
      <c r="O83" s="4">
        <v>0.1875</v>
      </c>
      <c r="P83">
        <v>3</v>
      </c>
      <c r="Q83" s="5">
        <v>14</v>
      </c>
      <c r="R83" s="4">
        <v>0.3333</v>
      </c>
      <c r="S83">
        <v>1</v>
      </c>
      <c r="T83">
        <v>1</v>
      </c>
      <c r="U83">
        <v>0</v>
      </c>
      <c r="V83">
        <v>0</v>
      </c>
      <c r="W83">
        <v>0</v>
      </c>
      <c r="X83" s="5">
        <v>42</v>
      </c>
      <c r="Y83">
        <v>0</v>
      </c>
      <c r="Z83" s="5">
        <v>42</v>
      </c>
      <c r="AA83" s="5">
        <v>0</v>
      </c>
      <c r="AB83" s="5">
        <v>42</v>
      </c>
      <c r="AC83" s="5">
        <v>0</v>
      </c>
      <c r="AD83" s="5">
        <v>0</v>
      </c>
    </row>
    <row r="84">
      <c r="A84" s="2" t="str">
        <f>HYPERLINK("https://www.avito.ru/arhangelsk/uslugi/priem_alyuminiya.priem_metalloloma.vyvoz_7837606056","7837606056")</f>
      </c>
      <c r="B84" t="s">
        <v>30</v>
      </c>
      <c r="C84" t="s">
        <v>31</v>
      </c>
      <c r="D84" t="s">
        <v>32</v>
      </c>
      <c r="E84" t="s">
        <v>33</v>
      </c>
      <c r="F84" t="s">
        <v>34</v>
      </c>
      <c r="G84" t="s">
        <v>35</v>
      </c>
      <c r="H84" s="3" t="str">
        <f>HYPERLINK("https://www.avito.ru/arhangelsk/uslugi/priem_alyuminiya.priem_metalloloma.vyvoz_7837606056","Прием алюминия.Прием металлолома.Вывоз")</f>
      </c>
      <c r="I84" t="s">
        <v>115</v>
      </c>
      <c r="J84" t="s">
        <v>37</v>
      </c>
      <c r="K84" t="s">
        <v>38</v>
      </c>
      <c r="L84">
        <v>44</v>
      </c>
      <c r="M84" t="s">
        <v>39</v>
      </c>
      <c r="N84">
        <v>19</v>
      </c>
      <c r="O84" s="4">
        <v>0.1578</v>
      </c>
      <c r="P84">
        <v>3</v>
      </c>
      <c r="Q84" s="5">
        <v>12.6</v>
      </c>
      <c r="R84" s="4">
        <v>0</v>
      </c>
      <c r="S84">
        <v>0</v>
      </c>
      <c r="T84">
        <v>0</v>
      </c>
      <c r="U84">
        <v>0</v>
      </c>
      <c r="V84">
        <v>0</v>
      </c>
      <c r="W84">
        <v>0</v>
      </c>
      <c r="X84" s="5" t="s">
        <v>83</v>
      </c>
      <c r="Y84">
        <v>0</v>
      </c>
      <c r="Z84" s="5">
        <v>37.8</v>
      </c>
      <c r="AA84" s="5">
        <v>0</v>
      </c>
      <c r="AB84" s="5">
        <v>37.8</v>
      </c>
      <c r="AC84" s="5">
        <v>0</v>
      </c>
      <c r="AD84" s="5">
        <v>0</v>
      </c>
    </row>
    <row r="85">
      <c r="A85" s="2" t="str">
        <f>HYPERLINK("https://www.avito.ru/sankt-peterburg/uslugi/vyvoz_i_priem_metalloloma_samovyvoz_loma_demontazh_7837810979","7837810979")</f>
      </c>
      <c r="B85" t="s">
        <v>55</v>
      </c>
      <c r="C85" t="s">
        <v>49</v>
      </c>
      <c r="D85" t="s">
        <v>97</v>
      </c>
      <c r="E85" t="s">
        <v>33</v>
      </c>
      <c r="F85" t="s">
        <v>34</v>
      </c>
      <c r="G85" t="s">
        <v>96</v>
      </c>
      <c r="H85" s="3" t="str">
        <f>HYPERLINK("https://www.avito.ru/sankt-peterburg/uslugi/vyvoz_i_priem_metalloloma_samovyvoz_loma_demontazh_7837810979","Вывоз и прием металлолома Самовывоз лома Демонтаж")</f>
      </c>
      <c r="I85" t="s">
        <v>74</v>
      </c>
      <c r="J85" t="s">
        <v>60</v>
      </c>
      <c r="K85" t="s">
        <v>38</v>
      </c>
      <c r="L85">
        <v>45</v>
      </c>
      <c r="M85" t="s">
        <v>39</v>
      </c>
      <c r="N85">
        <v>9</v>
      </c>
      <c r="O85" s="4">
        <v>0.3333</v>
      </c>
      <c r="P85">
        <v>3</v>
      </c>
      <c r="Q85" s="5">
        <v>33.6</v>
      </c>
      <c r="R85" s="4">
        <v>0</v>
      </c>
      <c r="S85">
        <v>0</v>
      </c>
      <c r="T85">
        <v>0</v>
      </c>
      <c r="U85">
        <v>0</v>
      </c>
      <c r="V85">
        <v>0</v>
      </c>
      <c r="W85">
        <v>0</v>
      </c>
      <c r="X85" s="5" t="s">
        <v>83</v>
      </c>
      <c r="Y85">
        <v>1</v>
      </c>
      <c r="Z85" s="5">
        <v>100.8</v>
      </c>
      <c r="AA85" s="5">
        <v>0</v>
      </c>
      <c r="AB85" s="5">
        <v>100.8</v>
      </c>
      <c r="AC85" s="5">
        <v>0</v>
      </c>
      <c r="AD85" s="5">
        <v>0</v>
      </c>
    </row>
    <row r="86">
      <c r="A86" s="2" t="str">
        <f>HYPERLINK("https://www.avito.ru/sankt-peterburg/uslugi/priem_kabelya_skupka_kabelya_provodov_7869349435","7869349435")</f>
      </c>
      <c r="B86" t="s">
        <v>55</v>
      </c>
      <c r="C86" t="s">
        <v>49</v>
      </c>
      <c r="D86" t="s">
        <v>151</v>
      </c>
      <c r="E86" t="s">
        <v>33</v>
      </c>
      <c r="F86" t="s">
        <v>34</v>
      </c>
      <c r="G86" t="s">
        <v>35</v>
      </c>
      <c r="H86" s="3" t="str">
        <f>HYPERLINK("https://www.avito.ru/sankt-peterburg/uslugi/priem_kabelya_skupka_kabelya_provodov_7869349435","Прием кабеля Скупка кабеля проводов")</f>
      </c>
      <c r="I86" t="s">
        <v>99</v>
      </c>
      <c r="J86" t="s">
        <v>152</v>
      </c>
      <c r="K86" t="s">
        <v>153</v>
      </c>
      <c r="L86">
        <v>29</v>
      </c>
      <c r="M86" t="s">
        <v>83</v>
      </c>
      <c r="N86">
        <v>8</v>
      </c>
      <c r="O86" s="4">
        <v>0.375</v>
      </c>
      <c r="P86">
        <v>3</v>
      </c>
      <c r="Q86" s="5">
        <v>33.6</v>
      </c>
      <c r="R86" s="4">
        <v>0</v>
      </c>
      <c r="S86">
        <v>0</v>
      </c>
      <c r="T86">
        <v>0</v>
      </c>
      <c r="U86">
        <v>0</v>
      </c>
      <c r="V86">
        <v>0</v>
      </c>
      <c r="W86">
        <v>0</v>
      </c>
      <c r="X86" s="5" t="s">
        <v>83</v>
      </c>
      <c r="Y86">
        <v>0</v>
      </c>
      <c r="Z86" s="5">
        <v>100.8</v>
      </c>
      <c r="AA86" s="5">
        <v>0</v>
      </c>
      <c r="AB86" s="5">
        <v>100.8</v>
      </c>
      <c r="AC86" s="5">
        <v>0</v>
      </c>
      <c r="AD86" s="5">
        <v>0</v>
      </c>
    </row>
    <row r="87">
      <c r="A87" s="2" t="str">
        <f>HYPERLINK("https://www.avito.ru/sankt-peterburg/uslugi/priem_metalloloma_vyvoz_metalloloma_demontazh_7869423789","7869423789")</f>
      </c>
      <c r="B87" t="s">
        <v>55</v>
      </c>
      <c r="C87" t="s">
        <v>49</v>
      </c>
      <c r="D87" t="s">
        <v>154</v>
      </c>
      <c r="E87" t="s">
        <v>33</v>
      </c>
      <c r="F87" t="s">
        <v>34</v>
      </c>
      <c r="G87" t="s">
        <v>35</v>
      </c>
      <c r="H87" s="3" t="str">
        <f>HYPERLINK("https://www.avito.ru/sankt-peterburg/uslugi/priem_metalloloma_vyvoz_metalloloma_demontazh_7869423789","Прием металлолома / вывоз металлолома / демонтаж")</f>
      </c>
      <c r="I87" t="s">
        <v>57</v>
      </c>
      <c r="J87" t="s">
        <v>155</v>
      </c>
      <c r="K87" t="s">
        <v>54</v>
      </c>
      <c r="L87">
        <v>41</v>
      </c>
      <c r="M87" t="s">
        <v>39</v>
      </c>
      <c r="N87">
        <v>15</v>
      </c>
      <c r="O87" s="4">
        <v>0.2</v>
      </c>
      <c r="P87">
        <v>3</v>
      </c>
      <c r="Q87" s="5">
        <v>24</v>
      </c>
      <c r="R87" s="4">
        <v>0.3333</v>
      </c>
      <c r="S87">
        <v>1</v>
      </c>
      <c r="T87">
        <v>1</v>
      </c>
      <c r="U87">
        <v>0</v>
      </c>
      <c r="V87">
        <v>0</v>
      </c>
      <c r="W87">
        <v>0</v>
      </c>
      <c r="X87" s="5">
        <v>72</v>
      </c>
      <c r="Y87">
        <v>0</v>
      </c>
      <c r="Z87" s="5">
        <v>72</v>
      </c>
      <c r="AA87" s="5">
        <v>0</v>
      </c>
      <c r="AB87" s="5">
        <v>72</v>
      </c>
      <c r="AC87" s="5">
        <v>0</v>
      </c>
      <c r="AD87" s="5">
        <v>0</v>
      </c>
    </row>
    <row r="88">
      <c r="A88" s="2" t="str">
        <f>HYPERLINK("https://www.avito.ru/arhangelsk/uslugi/skupka_metalla._redkozemelnye_metally_7869633170","7869633170")</f>
      </c>
      <c r="B88" t="s">
        <v>30</v>
      </c>
      <c r="C88" t="s">
        <v>31</v>
      </c>
      <c r="D88" t="s">
        <v>32</v>
      </c>
      <c r="E88" t="s">
        <v>33</v>
      </c>
      <c r="F88" t="s">
        <v>34</v>
      </c>
      <c r="G88" t="s">
        <v>35</v>
      </c>
      <c r="H88" s="3" t="str">
        <f>HYPERLINK("https://www.avito.ru/arhangelsk/uslugi/skupka_metalla._redkozemelnye_metally_7869633170","Скупка металла. Редкоземельные металлы")</f>
      </c>
      <c r="I88" t="s">
        <v>111</v>
      </c>
      <c r="J88" t="s">
        <v>71</v>
      </c>
      <c r="K88" t="s">
        <v>72</v>
      </c>
      <c r="L88">
        <v>36</v>
      </c>
      <c r="M88" t="s">
        <v>39</v>
      </c>
      <c r="N88">
        <v>40</v>
      </c>
      <c r="O88" s="4">
        <v>0.075</v>
      </c>
      <c r="P88">
        <v>3</v>
      </c>
      <c r="Q88" s="5">
        <v>7.2</v>
      </c>
      <c r="R88" s="4">
        <v>0</v>
      </c>
      <c r="S88">
        <v>0</v>
      </c>
      <c r="T88">
        <v>0</v>
      </c>
      <c r="U88">
        <v>0</v>
      </c>
      <c r="V88">
        <v>0</v>
      </c>
      <c r="W88">
        <v>0</v>
      </c>
      <c r="X88" s="5" t="s">
        <v>83</v>
      </c>
      <c r="Y88">
        <v>0</v>
      </c>
      <c r="Z88" s="5">
        <v>21.6</v>
      </c>
      <c r="AA88" s="5">
        <v>0</v>
      </c>
      <c r="AB88" s="5">
        <v>21.6</v>
      </c>
      <c r="AC88" s="5">
        <v>0</v>
      </c>
      <c r="AD88" s="5">
        <v>0</v>
      </c>
    </row>
    <row r="89">
      <c r="A89" s="2" t="str">
        <f>HYPERLINK("https://www.avito.ru/sankt-peterburg/uslugi/priem_provodov_priem_kabelya_skupka_7869887071","7869887071")</f>
      </c>
      <c r="B89" t="s">
        <v>55</v>
      </c>
      <c r="C89" t="s">
        <v>49</v>
      </c>
      <c r="D89" t="s">
        <v>156</v>
      </c>
      <c r="E89" t="s">
        <v>33</v>
      </c>
      <c r="F89" t="s">
        <v>34</v>
      </c>
      <c r="G89" t="s">
        <v>35</v>
      </c>
      <c r="H89" s="3" t="str">
        <f>HYPERLINK("https://www.avito.ru/sankt-peterburg/uslugi/priem_provodov_priem_kabelya_skupka_7869887071","Прием проводов Прием кабеля Скупка")</f>
      </c>
      <c r="I89" t="s">
        <v>99</v>
      </c>
      <c r="J89" t="s">
        <v>152</v>
      </c>
      <c r="K89" t="s">
        <v>153</v>
      </c>
      <c r="L89">
        <v>29</v>
      </c>
      <c r="M89" t="s">
        <v>83</v>
      </c>
      <c r="N89">
        <v>5</v>
      </c>
      <c r="O89" s="4">
        <v>0.6</v>
      </c>
      <c r="P89">
        <v>3</v>
      </c>
      <c r="Q89" s="5">
        <v>33.6</v>
      </c>
      <c r="R89" s="4">
        <v>0</v>
      </c>
      <c r="S89">
        <v>0</v>
      </c>
      <c r="T89">
        <v>0</v>
      </c>
      <c r="U89">
        <v>0</v>
      </c>
      <c r="V89">
        <v>0</v>
      </c>
      <c r="W89">
        <v>0</v>
      </c>
      <c r="X89" s="5" t="s">
        <v>83</v>
      </c>
      <c r="Y89">
        <v>0</v>
      </c>
      <c r="Z89" s="5">
        <v>100.8</v>
      </c>
      <c r="AA89" s="5">
        <v>0</v>
      </c>
      <c r="AB89" s="5">
        <v>100.8</v>
      </c>
      <c r="AC89" s="5">
        <v>0</v>
      </c>
      <c r="AD89" s="5">
        <v>0</v>
      </c>
    </row>
    <row r="90">
      <c r="A90" s="2" t="str">
        <f>HYPERLINK("https://www.avito.ru/velikiy_novgorod/uslugi/skupka_metalla._redkozemelnye_metally_7869890986","7869890986")</f>
      </c>
      <c r="B90" t="s">
        <v>43</v>
      </c>
      <c r="C90" t="s">
        <v>44</v>
      </c>
      <c r="D90" t="s">
        <v>45</v>
      </c>
      <c r="E90" t="s">
        <v>33</v>
      </c>
      <c r="F90" t="s">
        <v>34</v>
      </c>
      <c r="G90" t="s">
        <v>35</v>
      </c>
      <c r="H90" s="3" t="str">
        <f>HYPERLINK("https://www.avito.ru/velikiy_novgorod/uslugi/skupka_metalla._redkozemelnye_metally_7869890986","Скупка металла. Редкоземельные металлы")</f>
      </c>
      <c r="I90" t="s">
        <v>111</v>
      </c>
      <c r="J90" t="s">
        <v>71</v>
      </c>
      <c r="K90" t="s">
        <v>72</v>
      </c>
      <c r="L90">
        <v>36</v>
      </c>
      <c r="M90" t="s">
        <v>39</v>
      </c>
      <c r="N90">
        <v>19</v>
      </c>
      <c r="O90" s="4">
        <v>0.1578</v>
      </c>
      <c r="P90">
        <v>3</v>
      </c>
      <c r="Q90" s="5">
        <v>12</v>
      </c>
      <c r="R90" s="4">
        <v>0</v>
      </c>
      <c r="S90">
        <v>0</v>
      </c>
      <c r="T90">
        <v>0</v>
      </c>
      <c r="U90">
        <v>0</v>
      </c>
      <c r="V90">
        <v>0</v>
      </c>
      <c r="W90">
        <v>0</v>
      </c>
      <c r="X90" s="5" t="s">
        <v>83</v>
      </c>
      <c r="Y90">
        <v>0</v>
      </c>
      <c r="Z90" s="5">
        <v>36</v>
      </c>
      <c r="AA90" s="5">
        <v>0</v>
      </c>
      <c r="AB90" s="5">
        <v>36</v>
      </c>
      <c r="AC90" s="5">
        <v>0</v>
      </c>
      <c r="AD90" s="5">
        <v>0</v>
      </c>
    </row>
    <row r="91">
      <c r="A91" s="2" t="str">
        <f>HYPERLINK("https://www.avito.ru/sankt-peterburg/uslugi/demontazh_zdaniy_i_rezka_metalla_7901199251","7901199251")</f>
      </c>
      <c r="B91" t="s">
        <v>55</v>
      </c>
      <c r="C91" t="s">
        <v>49</v>
      </c>
      <c r="D91" t="s">
        <v>157</v>
      </c>
      <c r="E91" t="s">
        <v>33</v>
      </c>
      <c r="F91" t="s">
        <v>34</v>
      </c>
      <c r="G91" t="s">
        <v>158</v>
      </c>
      <c r="H91" s="3" t="str">
        <f>HYPERLINK("https://www.avito.ru/sankt-peterburg/uslugi/demontazh_zdaniy_i_rezka_metalla_7901199251","Демонтаж зданий и резка металла")</f>
      </c>
      <c r="I91" t="s">
        <v>159</v>
      </c>
      <c r="J91" t="s">
        <v>160</v>
      </c>
      <c r="K91" t="s">
        <v>161</v>
      </c>
      <c r="L91">
        <v>24</v>
      </c>
      <c r="M91" t="s">
        <v>83</v>
      </c>
      <c r="N91">
        <v>43</v>
      </c>
      <c r="O91" s="4">
        <v>0.0697</v>
      </c>
      <c r="P91">
        <v>3</v>
      </c>
      <c r="Q91" s="5">
        <v>710.23</v>
      </c>
      <c r="R91" s="4">
        <v>0</v>
      </c>
      <c r="S91">
        <v>0</v>
      </c>
      <c r="T91">
        <v>0</v>
      </c>
      <c r="U91">
        <v>0</v>
      </c>
      <c r="V91">
        <v>0</v>
      </c>
      <c r="W91">
        <v>0</v>
      </c>
      <c r="X91" s="5" t="s">
        <v>83</v>
      </c>
      <c r="Y91">
        <v>0</v>
      </c>
      <c r="Z91" s="5">
        <v>2130.71</v>
      </c>
      <c r="AA91" s="5">
        <v>0</v>
      </c>
      <c r="AB91" s="5">
        <v>108.71</v>
      </c>
      <c r="AC91" s="5">
        <v>2022</v>
      </c>
      <c r="AD91" s="5">
        <v>0</v>
      </c>
    </row>
    <row r="92">
      <c r="A92" s="2" t="str">
        <f>HYPERLINK("https://www.avito.ru/sankt-peterburg/uslugi/demontazh_metallokonstruktsiy_snos_zdaniy_7901344856","7901344856")</f>
      </c>
      <c r="B92" t="s">
        <v>55</v>
      </c>
      <c r="C92" t="s">
        <v>49</v>
      </c>
      <c r="D92" t="s">
        <v>157</v>
      </c>
      <c r="E92" t="s">
        <v>33</v>
      </c>
      <c r="F92" t="s">
        <v>34</v>
      </c>
      <c r="G92" t="s">
        <v>158</v>
      </c>
      <c r="H92" s="3" t="str">
        <f>HYPERLINK("https://www.avito.ru/sankt-peterburg/uslugi/demontazh_metallokonstruktsiy_snos_zdaniy_7901344856","Демонтаж металлоконструкций Снос зданий")</f>
      </c>
      <c r="I92" t="s">
        <v>159</v>
      </c>
      <c r="J92" t="s">
        <v>160</v>
      </c>
      <c r="K92" t="s">
        <v>161</v>
      </c>
      <c r="L92">
        <v>24</v>
      </c>
      <c r="M92" t="s">
        <v>83</v>
      </c>
      <c r="N92">
        <v>10</v>
      </c>
      <c r="O92" s="4">
        <v>0.3</v>
      </c>
      <c r="P92">
        <v>3</v>
      </c>
      <c r="Q92" s="5">
        <v>36.23</v>
      </c>
      <c r="R92" s="4">
        <v>0.3333</v>
      </c>
      <c r="S92">
        <v>1</v>
      </c>
      <c r="T92">
        <v>1</v>
      </c>
      <c r="U92">
        <v>0</v>
      </c>
      <c r="V92">
        <v>0</v>
      </c>
      <c r="W92">
        <v>0</v>
      </c>
      <c r="X92" s="5">
        <v>108.71</v>
      </c>
      <c r="Y92">
        <v>0</v>
      </c>
      <c r="Z92" s="5">
        <v>108.71</v>
      </c>
      <c r="AA92" s="5">
        <v>0</v>
      </c>
      <c r="AB92" s="5">
        <v>108.71</v>
      </c>
      <c r="AC92" s="5">
        <v>0</v>
      </c>
      <c r="AD92" s="5">
        <v>0</v>
      </c>
    </row>
    <row r="93">
      <c r="A93" s="2" t="str">
        <f>HYPERLINK("https://www.avito.ru/slantsy/uslugi/priem_i_vyvoz_metalloloma_samovyvoz_loma_7805085758","7805085758")</f>
      </c>
      <c r="B93" t="s">
        <v>116</v>
      </c>
      <c r="C93" t="s">
        <v>162</v>
      </c>
      <c r="D93" t="s">
        <v>163</v>
      </c>
      <c r="E93" t="s">
        <v>33</v>
      </c>
      <c r="F93" t="s">
        <v>34</v>
      </c>
      <c r="G93" t="s">
        <v>35</v>
      </c>
      <c r="H93" s="3" t="str">
        <f>HYPERLINK("https://www.avito.ru/slantsy/uslugi/priem_i_vyvoz_metalloloma_samovyvoz_loma_7805085758","Прием и вывоз металлолома / Самовывоз лома")</f>
      </c>
      <c r="I93" t="s">
        <v>100</v>
      </c>
      <c r="J93" t="s">
        <v>53</v>
      </c>
      <c r="K93" t="s">
        <v>118</v>
      </c>
      <c r="L93">
        <v>71</v>
      </c>
      <c r="M93" t="s">
        <v>39</v>
      </c>
      <c r="N93">
        <v>15</v>
      </c>
      <c r="O93" s="4">
        <v>0.1333</v>
      </c>
      <c r="P93">
        <v>2</v>
      </c>
      <c r="Q93" s="5">
        <v>10.8</v>
      </c>
      <c r="R93" s="4">
        <v>0</v>
      </c>
      <c r="S93">
        <v>0</v>
      </c>
      <c r="T93">
        <v>0</v>
      </c>
      <c r="U93">
        <v>0</v>
      </c>
      <c r="V93">
        <v>0</v>
      </c>
      <c r="W93">
        <v>0</v>
      </c>
      <c r="X93" s="5" t="s">
        <v>83</v>
      </c>
      <c r="Y93">
        <v>0</v>
      </c>
      <c r="Z93" s="5">
        <v>21.6</v>
      </c>
      <c r="AA93" s="5">
        <v>0</v>
      </c>
      <c r="AB93" s="5">
        <v>21.6</v>
      </c>
      <c r="AC93" s="5">
        <v>0</v>
      </c>
      <c r="AD93" s="5">
        <v>0</v>
      </c>
    </row>
    <row r="94">
      <c r="A94" s="2" t="str">
        <f>HYPERLINK("https://www.avito.ru/leningradskaya_oblast_kommunar/uslugi/skupka_i_vyvoz_metalloloma_v_spb_i_lo_s_demontazhem_7805106077","7805106077")</f>
      </c>
      <c r="B94" t="s">
        <v>116</v>
      </c>
      <c r="C94" t="s">
        <v>164</v>
      </c>
      <c r="D94" t="s">
        <v>165</v>
      </c>
      <c r="E94" t="s">
        <v>33</v>
      </c>
      <c r="F94" t="s">
        <v>34</v>
      </c>
      <c r="G94" t="s">
        <v>35</v>
      </c>
      <c r="H94" s="3" t="str">
        <f>HYPERLINK("https://www.avito.ru/leningradskaya_oblast_kommunar/uslugi/skupka_i_vyvoz_metalloloma_v_spb_i_lo_s_demontazhem_7805106077","Скупка и вывоз металлолома в СПб и ло с демонтажем")</f>
      </c>
      <c r="I94" t="s">
        <v>166</v>
      </c>
      <c r="J94" t="s">
        <v>53</v>
      </c>
      <c r="K94" t="s">
        <v>118</v>
      </c>
      <c r="L94">
        <v>71</v>
      </c>
      <c r="M94" t="s">
        <v>39</v>
      </c>
      <c r="N94">
        <v>5</v>
      </c>
      <c r="O94" s="4">
        <v>0.4</v>
      </c>
      <c r="P94">
        <v>2</v>
      </c>
      <c r="Q94" s="5">
        <v>10.8</v>
      </c>
      <c r="R94" s="4">
        <v>0</v>
      </c>
      <c r="S94">
        <v>0</v>
      </c>
      <c r="T94">
        <v>0</v>
      </c>
      <c r="U94">
        <v>0</v>
      </c>
      <c r="V94">
        <v>0</v>
      </c>
      <c r="W94">
        <v>0</v>
      </c>
      <c r="X94" s="5" t="s">
        <v>83</v>
      </c>
      <c r="Y94">
        <v>0</v>
      </c>
      <c r="Z94" s="5">
        <v>21.6</v>
      </c>
      <c r="AA94" s="5">
        <v>0</v>
      </c>
      <c r="AB94" s="5">
        <v>21.6</v>
      </c>
      <c r="AC94" s="5">
        <v>0</v>
      </c>
      <c r="AD94" s="5">
        <v>0</v>
      </c>
    </row>
    <row r="95">
      <c r="A95" s="2" t="str">
        <f>HYPERLINK("https://www.avito.ru/sankt-peterburg_sestroretsk/uslugi/sdat_staryy_akkumulyator_priem_akkumulyatorov_sdat_akb_7805192096","7805192096")</f>
      </c>
      <c r="B95" t="s">
        <v>49</v>
      </c>
      <c r="C95" t="s">
        <v>106</v>
      </c>
      <c r="D95" t="s">
        <v>107</v>
      </c>
      <c r="E95" t="s">
        <v>33</v>
      </c>
      <c r="F95" t="s">
        <v>34</v>
      </c>
      <c r="G95" t="s">
        <v>35</v>
      </c>
      <c r="H95" s="3" t="str">
        <f>HYPERLINK("https://www.avito.ru/sankt-peterburg_sestroretsk/uslugi/sdat_staryy_akkumulyator_priem_akkumulyatorov_sdat_akb_7805192096","Сдать старый аккумулятор / приём аккумуляторов / сдать АКБ")</f>
      </c>
      <c r="I95" t="s">
        <v>102</v>
      </c>
      <c r="J95" t="s">
        <v>53</v>
      </c>
      <c r="K95" t="s">
        <v>54</v>
      </c>
      <c r="L95">
        <v>71</v>
      </c>
      <c r="M95" t="s">
        <v>39</v>
      </c>
      <c r="N95">
        <v>8</v>
      </c>
      <c r="O95" s="4">
        <v>0.25</v>
      </c>
      <c r="P95">
        <v>2</v>
      </c>
      <c r="Q95" s="5">
        <v>50.4</v>
      </c>
      <c r="R95" s="4">
        <v>0.5</v>
      </c>
      <c r="S95">
        <v>1</v>
      </c>
      <c r="T95">
        <v>0</v>
      </c>
      <c r="U95">
        <v>1</v>
      </c>
      <c r="V95">
        <v>0</v>
      </c>
      <c r="W95">
        <v>0</v>
      </c>
      <c r="X95" s="5">
        <v>100.8</v>
      </c>
      <c r="Y95">
        <v>0</v>
      </c>
      <c r="Z95" s="5">
        <v>100.8</v>
      </c>
      <c r="AA95" s="5">
        <v>0</v>
      </c>
      <c r="AB95" s="5">
        <v>100.8</v>
      </c>
      <c r="AC95" s="5">
        <v>0</v>
      </c>
      <c r="AD95" s="5">
        <v>0</v>
      </c>
    </row>
    <row r="96">
      <c r="A96" s="2" t="str">
        <f>HYPERLINK("https://www.avito.ru/yanino-1/uslugi/priem_metalloloma_vyvoz_metalloloma_demontazh_7805268521","7805268521")</f>
      </c>
      <c r="B96" t="s">
        <v>116</v>
      </c>
      <c r="C96" t="s">
        <v>167</v>
      </c>
      <c r="D96" t="s">
        <v>168</v>
      </c>
      <c r="E96" t="s">
        <v>33</v>
      </c>
      <c r="F96" t="s">
        <v>34</v>
      </c>
      <c r="G96" t="s">
        <v>35</v>
      </c>
      <c r="H96" s="3" t="str">
        <f>HYPERLINK("https://www.avito.ru/yanino-1/uslugi/priem_metalloloma_vyvoz_metalloloma_demontazh_7805268521","Прием металлолома / вывоз металлолома / демонтаж")</f>
      </c>
      <c r="I96" t="s">
        <v>166</v>
      </c>
      <c r="J96" t="s">
        <v>53</v>
      </c>
      <c r="K96" t="s">
        <v>118</v>
      </c>
      <c r="L96">
        <v>71</v>
      </c>
      <c r="M96" t="s">
        <v>39</v>
      </c>
      <c r="N96">
        <v>6</v>
      </c>
      <c r="O96" s="4">
        <v>0.3333</v>
      </c>
      <c r="P96">
        <v>2</v>
      </c>
      <c r="Q96" s="5">
        <v>10.8</v>
      </c>
      <c r="R96" s="4">
        <v>0</v>
      </c>
      <c r="S96">
        <v>0</v>
      </c>
      <c r="T96">
        <v>0</v>
      </c>
      <c r="U96">
        <v>0</v>
      </c>
      <c r="V96">
        <v>0</v>
      </c>
      <c r="W96">
        <v>0</v>
      </c>
      <c r="X96" s="5" t="s">
        <v>83</v>
      </c>
      <c r="Y96">
        <v>0</v>
      </c>
      <c r="Z96" s="5">
        <v>21.6</v>
      </c>
      <c r="AA96" s="5">
        <v>0</v>
      </c>
      <c r="AB96" s="5">
        <v>21.6</v>
      </c>
      <c r="AC96" s="5">
        <v>0</v>
      </c>
      <c r="AD96" s="5">
        <v>0</v>
      </c>
    </row>
    <row r="97">
      <c r="A97" s="2" t="str">
        <f>HYPERLINK("https://www.avito.ru/sankt-peterburg_pushkin/uslugi/sdat_metallolom_spb_i_lo_7805352536","7805352536")</f>
      </c>
      <c r="B97" t="s">
        <v>49</v>
      </c>
      <c r="C97" t="s">
        <v>89</v>
      </c>
      <c r="D97" t="s">
        <v>90</v>
      </c>
      <c r="E97" t="s">
        <v>33</v>
      </c>
      <c r="F97" t="s">
        <v>34</v>
      </c>
      <c r="G97" t="s">
        <v>35</v>
      </c>
      <c r="H97" s="3" t="str">
        <f>HYPERLINK("https://www.avito.ru/sankt-peterburg_pushkin/uslugi/sdat_metallolom_spb_i_lo_7805352536","Сдать металлолом СПБ и ло")</f>
      </c>
      <c r="I97" t="s">
        <v>166</v>
      </c>
      <c r="J97" t="s">
        <v>53</v>
      </c>
      <c r="K97" t="s">
        <v>54</v>
      </c>
      <c r="L97">
        <v>71</v>
      </c>
      <c r="M97" t="s">
        <v>39</v>
      </c>
      <c r="N97">
        <v>2</v>
      </c>
      <c r="O97" s="4">
        <v>1</v>
      </c>
      <c r="P97">
        <v>2</v>
      </c>
      <c r="Q97" s="5">
        <v>50.4</v>
      </c>
      <c r="R97" s="4">
        <v>0.5</v>
      </c>
      <c r="S97">
        <v>1</v>
      </c>
      <c r="T97">
        <v>0</v>
      </c>
      <c r="U97">
        <v>1</v>
      </c>
      <c r="V97">
        <v>0</v>
      </c>
      <c r="W97">
        <v>0</v>
      </c>
      <c r="X97" s="5">
        <v>100.8</v>
      </c>
      <c r="Y97">
        <v>0</v>
      </c>
      <c r="Z97" s="5">
        <v>100.8</v>
      </c>
      <c r="AA97" s="5">
        <v>0</v>
      </c>
      <c r="AB97" s="5">
        <v>100.8</v>
      </c>
      <c r="AC97" s="5">
        <v>0</v>
      </c>
      <c r="AD97" s="5">
        <v>0</v>
      </c>
    </row>
    <row r="98">
      <c r="A98" s="2" t="str">
        <f>HYPERLINK("https://www.avito.ru/sankt-peterburg_peterhof/uslugi/priem_bu_akkumulyatorov_7805365415","7805365415")</f>
      </c>
      <c r="B98" t="s">
        <v>49</v>
      </c>
      <c r="C98" t="s">
        <v>169</v>
      </c>
      <c r="D98" t="s">
        <v>170</v>
      </c>
      <c r="E98" t="s">
        <v>33</v>
      </c>
      <c r="F98" t="s">
        <v>34</v>
      </c>
      <c r="G98" t="s">
        <v>35</v>
      </c>
      <c r="H98" s="3" t="str">
        <f>HYPERLINK("https://www.avito.ru/sankt-peterburg_peterhof/uslugi/priem_bu_akkumulyatorov_7805365415","Прием бу аккумуляторов")</f>
      </c>
      <c r="I98" t="s">
        <v>36</v>
      </c>
      <c r="J98" t="s">
        <v>53</v>
      </c>
      <c r="K98" t="s">
        <v>54</v>
      </c>
      <c r="L98">
        <v>71</v>
      </c>
      <c r="M98" t="s">
        <v>39</v>
      </c>
      <c r="N98">
        <v>13</v>
      </c>
      <c r="O98" s="4">
        <v>0.1538</v>
      </c>
      <c r="P98">
        <v>2</v>
      </c>
      <c r="Q98" s="5">
        <v>50.4</v>
      </c>
      <c r="R98" s="4">
        <v>0</v>
      </c>
      <c r="S98">
        <v>0</v>
      </c>
      <c r="T98">
        <v>0</v>
      </c>
      <c r="U98">
        <v>0</v>
      </c>
      <c r="V98">
        <v>0</v>
      </c>
      <c r="W98">
        <v>0</v>
      </c>
      <c r="X98" s="5" t="s">
        <v>83</v>
      </c>
      <c r="Y98">
        <v>0</v>
      </c>
      <c r="Z98" s="5">
        <v>100.8</v>
      </c>
      <c r="AA98" s="5">
        <v>0</v>
      </c>
      <c r="AB98" s="5">
        <v>100.8</v>
      </c>
      <c r="AC98" s="5">
        <v>0</v>
      </c>
      <c r="AD98" s="5">
        <v>0</v>
      </c>
    </row>
    <row r="99">
      <c r="A99" s="2" t="str">
        <f>HYPERLINK("https://www.avito.ru/sankt-peterburg_zelenogorsk/uslugi/skupka_metalla._redkozemelnye_metally_7805406877","7805406877")</f>
      </c>
      <c r="B99" t="s">
        <v>49</v>
      </c>
      <c r="C99" t="s">
        <v>119</v>
      </c>
      <c r="D99" t="s">
        <v>120</v>
      </c>
      <c r="E99" t="s">
        <v>33</v>
      </c>
      <c r="F99" t="s">
        <v>34</v>
      </c>
      <c r="G99" t="s">
        <v>35</v>
      </c>
      <c r="H99" s="3" t="str">
        <f>HYPERLINK("https://www.avito.ru/sankt-peterburg_zelenogorsk/uslugi/skupka_metalla._redkozemelnye_metally_7805406877","Скупка металла. Редкоземельные металлы")</f>
      </c>
      <c r="I99" t="s">
        <v>111</v>
      </c>
      <c r="J99" t="s">
        <v>53</v>
      </c>
      <c r="K99" t="s">
        <v>54</v>
      </c>
      <c r="L99">
        <v>71</v>
      </c>
      <c r="M99" t="s">
        <v>39</v>
      </c>
      <c r="N99">
        <v>15</v>
      </c>
      <c r="O99" s="4">
        <v>0.1333</v>
      </c>
      <c r="P99">
        <v>2</v>
      </c>
      <c r="Q99" s="5">
        <v>50.4</v>
      </c>
      <c r="R99" s="4">
        <v>0</v>
      </c>
      <c r="S99">
        <v>0</v>
      </c>
      <c r="T99">
        <v>0</v>
      </c>
      <c r="U99">
        <v>0</v>
      </c>
      <c r="V99">
        <v>0</v>
      </c>
      <c r="W99">
        <v>0</v>
      </c>
      <c r="X99" s="5" t="s">
        <v>83</v>
      </c>
      <c r="Y99">
        <v>0</v>
      </c>
      <c r="Z99" s="5">
        <v>100.8</v>
      </c>
      <c r="AA99" s="5">
        <v>0</v>
      </c>
      <c r="AB99" s="5">
        <v>100.8</v>
      </c>
      <c r="AC99" s="5">
        <v>0</v>
      </c>
      <c r="AD99" s="5">
        <v>0</v>
      </c>
    </row>
    <row r="100">
      <c r="A100" s="2" t="str">
        <f>HYPERLINK("https://www.avito.ru/sankt-peterburg_zelenogorsk/uslugi/priem_i_vyvoz_metalloloma_samovyvoz_loma_7805635475","7805635475")</f>
      </c>
      <c r="B100" t="s">
        <v>49</v>
      </c>
      <c r="C100" t="s">
        <v>119</v>
      </c>
      <c r="D100" t="s">
        <v>120</v>
      </c>
      <c r="E100" t="s">
        <v>33</v>
      </c>
      <c r="F100" t="s">
        <v>34</v>
      </c>
      <c r="G100" t="s">
        <v>35</v>
      </c>
      <c r="H100" s="3" t="str">
        <f>HYPERLINK("https://www.avito.ru/sankt-peterburg_zelenogorsk/uslugi/priem_i_vyvoz_metalloloma_samovyvoz_loma_7805635475","Прием и вывоз металлолома / Самовывоз лома")</f>
      </c>
      <c r="I100" t="s">
        <v>111</v>
      </c>
      <c r="J100" t="s">
        <v>53</v>
      </c>
      <c r="K100" t="s">
        <v>54</v>
      </c>
      <c r="L100">
        <v>71</v>
      </c>
      <c r="M100" t="s">
        <v>39</v>
      </c>
      <c r="N100">
        <v>7</v>
      </c>
      <c r="O100" s="4">
        <v>0.2857</v>
      </c>
      <c r="P100">
        <v>2</v>
      </c>
      <c r="Q100" s="5">
        <v>50.4</v>
      </c>
      <c r="R100" s="4">
        <v>0</v>
      </c>
      <c r="S100">
        <v>0</v>
      </c>
      <c r="T100">
        <v>0</v>
      </c>
      <c r="U100">
        <v>0</v>
      </c>
      <c r="V100">
        <v>0</v>
      </c>
      <c r="W100">
        <v>0</v>
      </c>
      <c r="X100" s="5" t="s">
        <v>83</v>
      </c>
      <c r="Y100">
        <v>0</v>
      </c>
      <c r="Z100" s="5">
        <v>100.8</v>
      </c>
      <c r="AA100" s="5">
        <v>0</v>
      </c>
      <c r="AB100" s="5">
        <v>100.8</v>
      </c>
      <c r="AC100" s="5">
        <v>0</v>
      </c>
      <c r="AD100" s="5">
        <v>0</v>
      </c>
    </row>
    <row r="101">
      <c r="A101" s="2" t="str">
        <f>HYPERLINK("https://www.avito.ru/sankt-peterburg_pushkin/uslugi/vyvoz_metalloloma_nerzhaveyka_bu_7805665299","7805665299")</f>
      </c>
      <c r="B101" t="s">
        <v>49</v>
      </c>
      <c r="C101" t="s">
        <v>89</v>
      </c>
      <c r="D101" t="s">
        <v>90</v>
      </c>
      <c r="E101" t="s">
        <v>33</v>
      </c>
      <c r="F101" t="s">
        <v>34</v>
      </c>
      <c r="G101" t="s">
        <v>35</v>
      </c>
      <c r="H101" s="3" t="str">
        <f>HYPERLINK("https://www.avito.ru/sankt-peterburg_pushkin/uslugi/vyvoz_metalloloma_nerzhaveyka_bu_7805665299","Вывоз металлолома / нержавейка бу")</f>
      </c>
      <c r="I101" t="s">
        <v>136</v>
      </c>
      <c r="J101" t="s">
        <v>53</v>
      </c>
      <c r="K101" t="s">
        <v>54</v>
      </c>
      <c r="L101">
        <v>71</v>
      </c>
      <c r="M101" t="s">
        <v>39</v>
      </c>
      <c r="N101">
        <v>10</v>
      </c>
      <c r="O101" s="4">
        <v>0.2</v>
      </c>
      <c r="P101">
        <v>2</v>
      </c>
      <c r="Q101" s="5">
        <v>50.4</v>
      </c>
      <c r="R101" s="4">
        <v>0.5</v>
      </c>
      <c r="S101">
        <v>1</v>
      </c>
      <c r="T101">
        <v>0</v>
      </c>
      <c r="U101">
        <v>1</v>
      </c>
      <c r="V101">
        <v>0</v>
      </c>
      <c r="W101">
        <v>0</v>
      </c>
      <c r="X101" s="5">
        <v>100.8</v>
      </c>
      <c r="Y101">
        <v>0</v>
      </c>
      <c r="Z101" s="5">
        <v>100.8</v>
      </c>
      <c r="AA101" s="5">
        <v>0</v>
      </c>
      <c r="AB101" s="5">
        <v>100.8</v>
      </c>
      <c r="AC101" s="5">
        <v>0</v>
      </c>
      <c r="AD101" s="5">
        <v>0</v>
      </c>
    </row>
    <row r="102">
      <c r="A102" s="2" t="str">
        <f>HYPERLINK("https://www.avito.ru/podporozhe/uslugi/priem_i_vyvoz_metalloloma_7805924301","7805924301")</f>
      </c>
      <c r="B102" t="s">
        <v>116</v>
      </c>
      <c r="C102" t="s">
        <v>171</v>
      </c>
      <c r="D102" t="s">
        <v>171</v>
      </c>
      <c r="E102" t="s">
        <v>33</v>
      </c>
      <c r="F102" t="s">
        <v>34</v>
      </c>
      <c r="G102" t="s">
        <v>35</v>
      </c>
      <c r="H102" s="3" t="str">
        <f>HYPERLINK("https://www.avito.ru/podporozhe/uslugi/priem_i_vyvoz_metalloloma_7805924301","Прием и вывоз металлолома")</f>
      </c>
      <c r="I102" t="s">
        <v>109</v>
      </c>
      <c r="J102" t="s">
        <v>53</v>
      </c>
      <c r="K102" t="s">
        <v>118</v>
      </c>
      <c r="L102">
        <v>71</v>
      </c>
      <c r="M102" t="s">
        <v>39</v>
      </c>
      <c r="N102">
        <v>19</v>
      </c>
      <c r="O102" s="4">
        <v>0.1052</v>
      </c>
      <c r="P102">
        <v>2</v>
      </c>
      <c r="Q102" s="5">
        <v>10.8</v>
      </c>
      <c r="R102" s="4">
        <v>0</v>
      </c>
      <c r="S102">
        <v>0</v>
      </c>
      <c r="T102">
        <v>0</v>
      </c>
      <c r="U102">
        <v>0</v>
      </c>
      <c r="V102">
        <v>0</v>
      </c>
      <c r="W102">
        <v>0</v>
      </c>
      <c r="X102" s="5" t="s">
        <v>83</v>
      </c>
      <c r="Y102">
        <v>0</v>
      </c>
      <c r="Z102" s="5">
        <v>21.6</v>
      </c>
      <c r="AA102" s="5">
        <v>0</v>
      </c>
      <c r="AB102" s="5">
        <v>21.6</v>
      </c>
      <c r="AC102" s="5">
        <v>0</v>
      </c>
      <c r="AD102" s="5">
        <v>0</v>
      </c>
    </row>
    <row r="103">
      <c r="A103" s="2" t="str">
        <f>HYPERLINK("https://www.avito.ru/cherepovets/uslugi/priem_alyuminiya.priem_metalloloma.vyvoz_7837119666","7837119666")</f>
      </c>
      <c r="B103" t="s">
        <v>40</v>
      </c>
      <c r="C103" t="s">
        <v>41</v>
      </c>
      <c r="D103" t="s">
        <v>42</v>
      </c>
      <c r="E103" t="s">
        <v>33</v>
      </c>
      <c r="F103" t="s">
        <v>34</v>
      </c>
      <c r="G103" t="s">
        <v>35</v>
      </c>
      <c r="H103" s="3" t="str">
        <f>HYPERLINK("https://www.avito.ru/cherepovets/uslugi/priem_alyuminiya.priem_metalloloma.vyvoz_7837119666","Прием алюминия.Прием металлолома.Вывоз")</f>
      </c>
      <c r="I103" t="s">
        <v>115</v>
      </c>
      <c r="J103" t="s">
        <v>37</v>
      </c>
      <c r="K103" t="s">
        <v>38</v>
      </c>
      <c r="L103">
        <v>44</v>
      </c>
      <c r="M103" t="s">
        <v>39</v>
      </c>
      <c r="N103">
        <v>23</v>
      </c>
      <c r="O103" s="4">
        <v>0.0869</v>
      </c>
      <c r="P103">
        <v>2</v>
      </c>
      <c r="Q103" s="5">
        <v>21</v>
      </c>
      <c r="R103" s="4">
        <v>0</v>
      </c>
      <c r="S103">
        <v>0</v>
      </c>
      <c r="T103">
        <v>0</v>
      </c>
      <c r="U103">
        <v>0</v>
      </c>
      <c r="V103">
        <v>0</v>
      </c>
      <c r="W103">
        <v>0</v>
      </c>
      <c r="X103" s="5" t="s">
        <v>83</v>
      </c>
      <c r="Y103">
        <v>0</v>
      </c>
      <c r="Z103" s="5">
        <v>42</v>
      </c>
      <c r="AA103" s="5">
        <v>0</v>
      </c>
      <c r="AB103" s="5">
        <v>42</v>
      </c>
      <c r="AC103" s="5">
        <v>0</v>
      </c>
      <c r="AD103" s="5">
        <v>0</v>
      </c>
    </row>
    <row r="104">
      <c r="A104" s="2" t="str">
        <f>HYPERLINK("https://www.avito.ru/cherepovets/uslugi/vyvoz_metalloloma_nerzhaveyka_bu_7837128017","7837128017")</f>
      </c>
      <c r="B104" t="s">
        <v>40</v>
      </c>
      <c r="C104" t="s">
        <v>41</v>
      </c>
      <c r="D104" t="s">
        <v>42</v>
      </c>
      <c r="E104" t="s">
        <v>33</v>
      </c>
      <c r="F104" t="s">
        <v>34</v>
      </c>
      <c r="G104" t="s">
        <v>35</v>
      </c>
      <c r="H104" s="3" t="str">
        <f>HYPERLINK("https://www.avito.ru/cherepovets/uslugi/vyvoz_metalloloma_nerzhaveyka_bu_7837128017","Вывоз металлолома / нержавейка бу")</f>
      </c>
      <c r="I104" t="s">
        <v>136</v>
      </c>
      <c r="J104" t="s">
        <v>37</v>
      </c>
      <c r="K104" t="s">
        <v>38</v>
      </c>
      <c r="L104">
        <v>44</v>
      </c>
      <c r="M104" t="s">
        <v>39</v>
      </c>
      <c r="N104">
        <v>20</v>
      </c>
      <c r="O104" s="4">
        <v>0.1</v>
      </c>
      <c r="P104">
        <v>2</v>
      </c>
      <c r="Q104" s="5">
        <v>21</v>
      </c>
      <c r="R104" s="4">
        <v>0</v>
      </c>
      <c r="S104">
        <v>0</v>
      </c>
      <c r="T104">
        <v>0</v>
      </c>
      <c r="U104">
        <v>0</v>
      </c>
      <c r="V104">
        <v>0</v>
      </c>
      <c r="W104">
        <v>0</v>
      </c>
      <c r="X104" s="5" t="s">
        <v>83</v>
      </c>
      <c r="Y104">
        <v>0</v>
      </c>
      <c r="Z104" s="5">
        <v>42</v>
      </c>
      <c r="AA104" s="5">
        <v>0</v>
      </c>
      <c r="AB104" s="5">
        <v>42</v>
      </c>
      <c r="AC104" s="5">
        <v>0</v>
      </c>
      <c r="AD104" s="5">
        <v>0</v>
      </c>
    </row>
    <row r="105">
      <c r="A105" s="2" t="str">
        <f>HYPERLINK("https://www.avito.ru/velikiy_novgorod/uslugi/vyvoz_metalloloma_nerzhaveyka_bu_7837617420","7837617420")</f>
      </c>
      <c r="B105" t="s">
        <v>43</v>
      </c>
      <c r="C105" t="s">
        <v>44</v>
      </c>
      <c r="D105" t="s">
        <v>45</v>
      </c>
      <c r="E105" t="s">
        <v>33</v>
      </c>
      <c r="F105" t="s">
        <v>34</v>
      </c>
      <c r="G105" t="s">
        <v>35</v>
      </c>
      <c r="H105" s="3" t="str">
        <f>HYPERLINK("https://www.avito.ru/velikiy_novgorod/uslugi/vyvoz_metalloloma_nerzhaveyka_bu_7837617420","Вывоз металлолома / нержавейка бу")</f>
      </c>
      <c r="I105" t="s">
        <v>136</v>
      </c>
      <c r="J105" t="s">
        <v>37</v>
      </c>
      <c r="K105" t="s">
        <v>38</v>
      </c>
      <c r="L105">
        <v>44</v>
      </c>
      <c r="M105" t="s">
        <v>39</v>
      </c>
      <c r="N105">
        <v>16</v>
      </c>
      <c r="O105" s="4">
        <v>0.125</v>
      </c>
      <c r="P105">
        <v>2</v>
      </c>
      <c r="Q105" s="5">
        <v>31.5</v>
      </c>
      <c r="R105" s="4">
        <v>0.5</v>
      </c>
      <c r="S105">
        <v>1</v>
      </c>
      <c r="T105">
        <v>0</v>
      </c>
      <c r="U105">
        <v>1</v>
      </c>
      <c r="V105">
        <v>0</v>
      </c>
      <c r="W105">
        <v>0</v>
      </c>
      <c r="X105" s="5">
        <v>63</v>
      </c>
      <c r="Y105">
        <v>1</v>
      </c>
      <c r="Z105" s="5">
        <v>63</v>
      </c>
      <c r="AA105" s="5">
        <v>0</v>
      </c>
      <c r="AB105" s="5">
        <v>63</v>
      </c>
      <c r="AC105" s="5">
        <v>0</v>
      </c>
      <c r="AD105" s="5">
        <v>0</v>
      </c>
    </row>
    <row r="106">
      <c r="A106" s="2" t="str">
        <f>HYPERLINK("https://www.avito.ru/sankt-peterburg/uslugi/skupka_volframa_vndsdat_volfram_7837641405","7837641405")</f>
      </c>
      <c r="B106" t="s">
        <v>55</v>
      </c>
      <c r="C106" t="s">
        <v>49</v>
      </c>
      <c r="D106" t="s">
        <v>58</v>
      </c>
      <c r="E106" t="s">
        <v>33</v>
      </c>
      <c r="F106" t="s">
        <v>34</v>
      </c>
      <c r="G106" t="s">
        <v>35</v>
      </c>
      <c r="H106" s="3" t="str">
        <f>HYPERLINK("https://www.avito.ru/sankt-peterburg/uslugi/skupka_volframa_vndsdat_volfram_7837641405","Скупка Вольфрама внд/сдать вольфрам")</f>
      </c>
      <c r="I106" t="s">
        <v>172</v>
      </c>
      <c r="J106" t="s">
        <v>60</v>
      </c>
      <c r="K106" t="s">
        <v>66</v>
      </c>
      <c r="L106">
        <v>45</v>
      </c>
      <c r="M106" t="s">
        <v>62</v>
      </c>
      <c r="N106">
        <v>9</v>
      </c>
      <c r="O106" s="4">
        <v>0.2222</v>
      </c>
      <c r="P106">
        <v>2</v>
      </c>
      <c r="Q106" s="5">
        <v>50.4</v>
      </c>
      <c r="R106" s="4">
        <v>0</v>
      </c>
      <c r="S106">
        <v>0</v>
      </c>
      <c r="T106">
        <v>0</v>
      </c>
      <c r="U106">
        <v>0</v>
      </c>
      <c r="V106">
        <v>0</v>
      </c>
      <c r="W106">
        <v>0</v>
      </c>
      <c r="X106" s="5" t="s">
        <v>83</v>
      </c>
      <c r="Y106">
        <v>0</v>
      </c>
      <c r="Z106" s="5">
        <v>100.8</v>
      </c>
      <c r="AA106" s="5">
        <v>0</v>
      </c>
      <c r="AB106" s="5">
        <v>100.8</v>
      </c>
      <c r="AC106" s="5">
        <v>0</v>
      </c>
      <c r="AD106" s="5">
        <v>0</v>
      </c>
    </row>
    <row r="107">
      <c r="A107" s="2" t="str">
        <f>HYPERLINK("https://www.avito.ru/sankt-peterburg/uslugi/skupka_loma_volframasdat_volfram_7837889509","7837889509")</f>
      </c>
      <c r="B107" t="s">
        <v>55</v>
      </c>
      <c r="C107" t="s">
        <v>49</v>
      </c>
      <c r="D107" t="s">
        <v>58</v>
      </c>
      <c r="E107" t="s">
        <v>33</v>
      </c>
      <c r="F107" t="s">
        <v>34</v>
      </c>
      <c r="G107" t="s">
        <v>35</v>
      </c>
      <c r="H107" s="3" t="str">
        <f>HYPERLINK("https://www.avito.ru/sankt-peterburg/uslugi/skupka_loma_volframasdat_volfram_7837889509","Скупка лома Вольфрама/сдать вольфрам")</f>
      </c>
      <c r="I107" t="s">
        <v>173</v>
      </c>
      <c r="J107" t="s">
        <v>60</v>
      </c>
      <c r="K107" t="s">
        <v>66</v>
      </c>
      <c r="L107">
        <v>45</v>
      </c>
      <c r="M107" t="s">
        <v>62</v>
      </c>
      <c r="N107">
        <v>6</v>
      </c>
      <c r="O107" s="4">
        <v>0.3333</v>
      </c>
      <c r="P107">
        <v>2</v>
      </c>
      <c r="Q107" s="5">
        <v>50.4</v>
      </c>
      <c r="R107" s="4">
        <v>0</v>
      </c>
      <c r="S107">
        <v>0</v>
      </c>
      <c r="T107">
        <v>0</v>
      </c>
      <c r="U107">
        <v>0</v>
      </c>
      <c r="V107">
        <v>0</v>
      </c>
      <c r="W107">
        <v>0</v>
      </c>
      <c r="X107" s="5" t="s">
        <v>83</v>
      </c>
      <c r="Y107">
        <v>0</v>
      </c>
      <c r="Z107" s="5">
        <v>100.8</v>
      </c>
      <c r="AA107" s="5">
        <v>0</v>
      </c>
      <c r="AB107" s="5">
        <v>100.8</v>
      </c>
      <c r="AC107" s="5">
        <v>0</v>
      </c>
      <c r="AD107" s="5">
        <v>0</v>
      </c>
    </row>
    <row r="108">
      <c r="A108" s="2" t="str">
        <f>HYPERLINK("https://www.avito.ru/pskov/uslugi/priem_tsvetnogo_metalloloma_7868957773","7868957773")</f>
      </c>
      <c r="B108" t="s">
        <v>67</v>
      </c>
      <c r="C108" t="s">
        <v>68</v>
      </c>
      <c r="D108" t="s">
        <v>69</v>
      </c>
      <c r="E108" t="s">
        <v>33</v>
      </c>
      <c r="F108" t="s">
        <v>34</v>
      </c>
      <c r="G108" t="s">
        <v>35</v>
      </c>
      <c r="H108" s="3" t="str">
        <f>HYPERLINK("https://www.avito.ru/pskov/uslugi/priem_tsvetnogo_metalloloma_7868957773","Прием цветного металлолома")</f>
      </c>
      <c r="I108" t="s">
        <v>101</v>
      </c>
      <c r="J108" t="s">
        <v>71</v>
      </c>
      <c r="K108" t="s">
        <v>72</v>
      </c>
      <c r="L108">
        <v>36</v>
      </c>
      <c r="M108" t="s">
        <v>39</v>
      </c>
      <c r="N108">
        <v>8</v>
      </c>
      <c r="O108" s="4">
        <v>0.25</v>
      </c>
      <c r="P108">
        <v>2</v>
      </c>
      <c r="Q108" s="5">
        <v>15.6</v>
      </c>
      <c r="R108" s="4">
        <v>0.5</v>
      </c>
      <c r="S108">
        <v>1</v>
      </c>
      <c r="T108">
        <v>0</v>
      </c>
      <c r="U108">
        <v>1</v>
      </c>
      <c r="V108">
        <v>0</v>
      </c>
      <c r="W108">
        <v>0</v>
      </c>
      <c r="X108" s="5">
        <v>31.2</v>
      </c>
      <c r="Y108">
        <v>1</v>
      </c>
      <c r="Z108" s="5">
        <v>31.2</v>
      </c>
      <c r="AA108" s="5">
        <v>0</v>
      </c>
      <c r="AB108" s="5">
        <v>31.2</v>
      </c>
      <c r="AC108" s="5">
        <v>0</v>
      </c>
      <c r="AD108" s="5">
        <v>0</v>
      </c>
    </row>
    <row r="109">
      <c r="A109" s="2" t="str">
        <f>HYPERLINK("https://www.avito.ru/vologda/uslugi/priem_i_vyvoz_metalloloma_spb_i_lo_7869146890","7869146890")</f>
      </c>
      <c r="B109" t="s">
        <v>40</v>
      </c>
      <c r="C109" t="s">
        <v>81</v>
      </c>
      <c r="D109" t="s">
        <v>82</v>
      </c>
      <c r="E109" t="s">
        <v>33</v>
      </c>
      <c r="F109" t="s">
        <v>34</v>
      </c>
      <c r="G109" t="s">
        <v>35</v>
      </c>
      <c r="H109" s="3" t="str">
        <f>HYPERLINK("https://www.avito.ru/vologda/uslugi/priem_i_vyvoz_metalloloma_spb_i_lo_7869146890","Прием и вывоз металлолома СПБ и ло")</f>
      </c>
      <c r="I109" t="s">
        <v>136</v>
      </c>
      <c r="J109" t="s">
        <v>71</v>
      </c>
      <c r="K109" t="s">
        <v>72</v>
      </c>
      <c r="L109">
        <v>36</v>
      </c>
      <c r="M109" t="s">
        <v>39</v>
      </c>
      <c r="N109">
        <v>5</v>
      </c>
      <c r="O109" s="4">
        <v>0.4</v>
      </c>
      <c r="P109">
        <v>2</v>
      </c>
      <c r="Q109" s="5">
        <v>18</v>
      </c>
      <c r="R109" s="4">
        <v>0</v>
      </c>
      <c r="S109">
        <v>0</v>
      </c>
      <c r="T109">
        <v>0</v>
      </c>
      <c r="U109">
        <v>0</v>
      </c>
      <c r="V109">
        <v>0</v>
      </c>
      <c r="W109">
        <v>0</v>
      </c>
      <c r="X109" s="5" t="s">
        <v>83</v>
      </c>
      <c r="Y109">
        <v>0</v>
      </c>
      <c r="Z109" s="5">
        <v>36</v>
      </c>
      <c r="AA109" s="5">
        <v>0</v>
      </c>
      <c r="AB109" s="5">
        <v>36</v>
      </c>
      <c r="AC109" s="5">
        <v>0</v>
      </c>
      <c r="AD109" s="5">
        <v>0</v>
      </c>
    </row>
    <row r="110">
      <c r="A110" s="2" t="str">
        <f>HYPERLINK("https://www.avito.ru/sankt-peterburg/uslugi/priem_provodov._skupka_7869339176","7869339176")</f>
      </c>
      <c r="B110" t="s">
        <v>55</v>
      </c>
      <c r="C110" t="s">
        <v>49</v>
      </c>
      <c r="D110" t="s">
        <v>174</v>
      </c>
      <c r="E110" t="s">
        <v>33</v>
      </c>
      <c r="F110" t="s">
        <v>34</v>
      </c>
      <c r="G110" t="s">
        <v>35</v>
      </c>
      <c r="H110" s="3" t="str">
        <f>HYPERLINK("https://www.avito.ru/sankt-peterburg/uslugi/priem_provodov._skupka_7869339176","Прием проводов. Скупка")</f>
      </c>
      <c r="I110" t="s">
        <v>99</v>
      </c>
      <c r="J110" t="s">
        <v>175</v>
      </c>
      <c r="K110" t="s">
        <v>108</v>
      </c>
      <c r="L110">
        <v>37</v>
      </c>
      <c r="M110" t="s">
        <v>39</v>
      </c>
      <c r="N110">
        <v>9</v>
      </c>
      <c r="O110" s="4">
        <v>0.2222</v>
      </c>
      <c r="P110">
        <v>2</v>
      </c>
      <c r="Q110" s="5">
        <v>50.4</v>
      </c>
      <c r="R110" s="4">
        <v>0</v>
      </c>
      <c r="S110">
        <v>0</v>
      </c>
      <c r="T110">
        <v>0</v>
      </c>
      <c r="U110">
        <v>0</v>
      </c>
      <c r="V110">
        <v>0</v>
      </c>
      <c r="W110">
        <v>0</v>
      </c>
      <c r="X110" s="5" t="s">
        <v>83</v>
      </c>
      <c r="Y110">
        <v>0</v>
      </c>
      <c r="Z110" s="5">
        <v>100.8</v>
      </c>
      <c r="AA110" s="5">
        <v>0</v>
      </c>
      <c r="AB110" s="5">
        <v>100.8</v>
      </c>
      <c r="AC110" s="5">
        <v>0</v>
      </c>
      <c r="AD110" s="5">
        <v>0</v>
      </c>
    </row>
    <row r="111">
      <c r="A111" s="2" t="str">
        <f>HYPERLINK("https://www.avito.ru/pskov/uslugi/priem_i_vyvoz_metalloloma_7869424429","7869424429")</f>
      </c>
      <c r="B111" t="s">
        <v>67</v>
      </c>
      <c r="C111" t="s">
        <v>68</v>
      </c>
      <c r="D111" t="s">
        <v>69</v>
      </c>
      <c r="E111" t="s">
        <v>33</v>
      </c>
      <c r="F111" t="s">
        <v>34</v>
      </c>
      <c r="G111" t="s">
        <v>35</v>
      </c>
      <c r="H111" s="3" t="str">
        <f>HYPERLINK("https://www.avito.ru/pskov/uslugi/priem_i_vyvoz_metalloloma_7869424429","Прием и вывоз металлолома")</f>
      </c>
      <c r="I111" t="s">
        <v>111</v>
      </c>
      <c r="J111" t="s">
        <v>71</v>
      </c>
      <c r="K111" t="s">
        <v>72</v>
      </c>
      <c r="L111">
        <v>36</v>
      </c>
      <c r="M111" t="s">
        <v>39</v>
      </c>
      <c r="N111">
        <v>9</v>
      </c>
      <c r="O111" s="4">
        <v>0.2222</v>
      </c>
      <c r="P111">
        <v>2</v>
      </c>
      <c r="Q111" s="5">
        <v>15.6</v>
      </c>
      <c r="R111" s="4">
        <v>0</v>
      </c>
      <c r="S111">
        <v>0</v>
      </c>
      <c r="T111">
        <v>0</v>
      </c>
      <c r="U111">
        <v>0</v>
      </c>
      <c r="V111">
        <v>0</v>
      </c>
      <c r="W111">
        <v>0</v>
      </c>
      <c r="X111" s="5" t="s">
        <v>83</v>
      </c>
      <c r="Y111">
        <v>1</v>
      </c>
      <c r="Z111" s="5">
        <v>31.2</v>
      </c>
      <c r="AA111" s="5">
        <v>0</v>
      </c>
      <c r="AB111" s="5">
        <v>31.2</v>
      </c>
      <c r="AC111" s="5">
        <v>0</v>
      </c>
      <c r="AD111" s="5">
        <v>0</v>
      </c>
    </row>
    <row r="112">
      <c r="A112" s="2" t="str">
        <f>HYPERLINK("https://www.avito.ru/velikiy_novgorod/uslugi/priem_tsvetnogo_metalloloma_7869442767","7869442767")</f>
      </c>
      <c r="B112" t="s">
        <v>43</v>
      </c>
      <c r="C112" t="s">
        <v>44</v>
      </c>
      <c r="D112" t="s">
        <v>45</v>
      </c>
      <c r="E112" t="s">
        <v>33</v>
      </c>
      <c r="F112" t="s">
        <v>34</v>
      </c>
      <c r="G112" t="s">
        <v>35</v>
      </c>
      <c r="H112" s="3" t="str">
        <f>HYPERLINK("https://www.avito.ru/velikiy_novgorod/uslugi/priem_tsvetnogo_metalloloma_7869442767","Прием цветного металлолома")</f>
      </c>
      <c r="I112" t="s">
        <v>101</v>
      </c>
      <c r="J112" t="s">
        <v>71</v>
      </c>
      <c r="K112" t="s">
        <v>72</v>
      </c>
      <c r="L112">
        <v>36</v>
      </c>
      <c r="M112" t="s">
        <v>39</v>
      </c>
      <c r="N112">
        <v>11</v>
      </c>
      <c r="O112" s="4">
        <v>0.1818</v>
      </c>
      <c r="P112">
        <v>2</v>
      </c>
      <c r="Q112" s="5">
        <v>22.5</v>
      </c>
      <c r="R112" s="4">
        <v>0</v>
      </c>
      <c r="S112">
        <v>0</v>
      </c>
      <c r="T112">
        <v>0</v>
      </c>
      <c r="U112">
        <v>0</v>
      </c>
      <c r="V112">
        <v>0</v>
      </c>
      <c r="W112">
        <v>0</v>
      </c>
      <c r="X112" s="5" t="s">
        <v>83</v>
      </c>
      <c r="Y112">
        <v>0</v>
      </c>
      <c r="Z112" s="5">
        <v>45</v>
      </c>
      <c r="AA112" s="5">
        <v>0</v>
      </c>
      <c r="AB112" s="5">
        <v>45</v>
      </c>
      <c r="AC112" s="5">
        <v>0</v>
      </c>
      <c r="AD112" s="5">
        <v>0</v>
      </c>
    </row>
    <row r="113">
      <c r="A113" s="2" t="str">
        <f>HYPERLINK("https://www.avito.ru/pskov/uslugi/priem_i_vyvoz_metalloloma_spb_i_lo_7869497841","7869497841")</f>
      </c>
      <c r="B113" t="s">
        <v>67</v>
      </c>
      <c r="C113" t="s">
        <v>68</v>
      </c>
      <c r="D113" t="s">
        <v>69</v>
      </c>
      <c r="E113" t="s">
        <v>33</v>
      </c>
      <c r="F113" t="s">
        <v>34</v>
      </c>
      <c r="G113" t="s">
        <v>35</v>
      </c>
      <c r="H113" s="3" t="str">
        <f>HYPERLINK("https://www.avito.ru/pskov/uslugi/priem_i_vyvoz_metalloloma_spb_i_lo_7869497841","Прием и вывоз металлолома СПБ и ло")</f>
      </c>
      <c r="I113" t="s">
        <v>136</v>
      </c>
      <c r="J113" t="s">
        <v>71</v>
      </c>
      <c r="K113" t="s">
        <v>72</v>
      </c>
      <c r="L113">
        <v>36</v>
      </c>
      <c r="M113" t="s">
        <v>39</v>
      </c>
      <c r="N113">
        <v>17</v>
      </c>
      <c r="O113" s="4">
        <v>0.1176</v>
      </c>
      <c r="P113">
        <v>2</v>
      </c>
      <c r="Q113" s="5">
        <v>15.6</v>
      </c>
      <c r="R113" s="4">
        <v>0</v>
      </c>
      <c r="S113">
        <v>0</v>
      </c>
      <c r="T113">
        <v>0</v>
      </c>
      <c r="U113">
        <v>0</v>
      </c>
      <c r="V113">
        <v>0</v>
      </c>
      <c r="W113">
        <v>0</v>
      </c>
      <c r="X113" s="5" t="s">
        <v>83</v>
      </c>
      <c r="Y113">
        <v>0</v>
      </c>
      <c r="Z113" s="5">
        <v>31.2</v>
      </c>
      <c r="AA113" s="5">
        <v>0</v>
      </c>
      <c r="AB113" s="5">
        <v>31.2</v>
      </c>
      <c r="AC113" s="5">
        <v>0</v>
      </c>
      <c r="AD113" s="5">
        <v>0</v>
      </c>
    </row>
    <row r="114">
      <c r="A114" s="2" t="str">
        <f>HYPERLINK("https://www.avito.ru/cherepovets/uslugi/skupka_metalla._redkozemelnye_metally_7869635987","7869635987")</f>
      </c>
      <c r="B114" t="s">
        <v>40</v>
      </c>
      <c r="C114" t="s">
        <v>41</v>
      </c>
      <c r="D114" t="s">
        <v>42</v>
      </c>
      <c r="E114" t="s">
        <v>33</v>
      </c>
      <c r="F114" t="s">
        <v>34</v>
      </c>
      <c r="G114" t="s">
        <v>35</v>
      </c>
      <c r="H114" s="3" t="str">
        <f>HYPERLINK("https://www.avito.ru/cherepovets/uslugi/skupka_metalla._redkozemelnye_metally_7869635987","Скупка металла. Редкоземельные металлы")</f>
      </c>
      <c r="I114" t="s">
        <v>111</v>
      </c>
      <c r="J114" t="s">
        <v>71</v>
      </c>
      <c r="K114" t="s">
        <v>72</v>
      </c>
      <c r="L114">
        <v>36</v>
      </c>
      <c r="M114" t="s">
        <v>39</v>
      </c>
      <c r="N114">
        <v>21</v>
      </c>
      <c r="O114" s="4">
        <v>0.0952</v>
      </c>
      <c r="P114">
        <v>2</v>
      </c>
      <c r="Q114" s="5">
        <v>12</v>
      </c>
      <c r="R114" s="4">
        <v>0</v>
      </c>
      <c r="S114">
        <v>0</v>
      </c>
      <c r="T114">
        <v>0</v>
      </c>
      <c r="U114">
        <v>0</v>
      </c>
      <c r="V114">
        <v>0</v>
      </c>
      <c r="W114">
        <v>0</v>
      </c>
      <c r="X114" s="5" t="s">
        <v>83</v>
      </c>
      <c r="Y114">
        <v>0</v>
      </c>
      <c r="Z114" s="5">
        <v>24</v>
      </c>
      <c r="AA114" s="5">
        <v>0</v>
      </c>
      <c r="AB114" s="5">
        <v>24</v>
      </c>
      <c r="AC114" s="5">
        <v>0</v>
      </c>
      <c r="AD114" s="5">
        <v>0</v>
      </c>
    </row>
    <row r="115">
      <c r="A115" s="2" t="str">
        <f>HYPERLINK("https://www.avito.ru/vologda/uslugi/priem_provodov._skupka_7869866104","7869866104")</f>
      </c>
      <c r="B115" t="s">
        <v>40</v>
      </c>
      <c r="C115" t="s">
        <v>81</v>
      </c>
      <c r="D115" t="s">
        <v>82</v>
      </c>
      <c r="E115" t="s">
        <v>33</v>
      </c>
      <c r="F115" t="s">
        <v>34</v>
      </c>
      <c r="G115" t="s">
        <v>35</v>
      </c>
      <c r="H115" s="3" t="str">
        <f>HYPERLINK("https://www.avito.ru/vologda/uslugi/priem_provodov._skupka_7869866104","Прием проводов. Скупка")</f>
      </c>
      <c r="I115" t="s">
        <v>70</v>
      </c>
      <c r="J115" t="s">
        <v>71</v>
      </c>
      <c r="K115" t="s">
        <v>72</v>
      </c>
      <c r="L115">
        <v>36</v>
      </c>
      <c r="M115" t="s">
        <v>39</v>
      </c>
      <c r="N115">
        <v>21</v>
      </c>
      <c r="O115" s="4">
        <v>0.0952</v>
      </c>
      <c r="P115">
        <v>2</v>
      </c>
      <c r="Q115" s="5">
        <v>18</v>
      </c>
      <c r="R115" s="4">
        <v>0</v>
      </c>
      <c r="S115">
        <v>0</v>
      </c>
      <c r="T115">
        <v>0</v>
      </c>
      <c r="U115">
        <v>0</v>
      </c>
      <c r="V115">
        <v>0</v>
      </c>
      <c r="W115">
        <v>0</v>
      </c>
      <c r="X115" s="5" t="s">
        <v>83</v>
      </c>
      <c r="Y115">
        <v>0</v>
      </c>
      <c r="Z115" s="5">
        <v>36</v>
      </c>
      <c r="AA115" s="5">
        <v>0</v>
      </c>
      <c r="AB115" s="5">
        <v>36</v>
      </c>
      <c r="AC115" s="5">
        <v>0</v>
      </c>
      <c r="AD115" s="5">
        <v>0</v>
      </c>
    </row>
    <row r="116">
      <c r="A116" s="2" t="str">
        <f>HYPERLINK("https://www.avito.ru/sankt-peterburg/uslugi/priem_metalloloma_vyvoz_metalloloma_demontazh_7901275111","7901275111")</f>
      </c>
      <c r="B116" t="s">
        <v>55</v>
      </c>
      <c r="C116" t="s">
        <v>49</v>
      </c>
      <c r="D116" t="s">
        <v>138</v>
      </c>
      <c r="E116" t="s">
        <v>33</v>
      </c>
      <c r="F116" t="s">
        <v>34</v>
      </c>
      <c r="G116" t="s">
        <v>35</v>
      </c>
      <c r="H116" s="3" t="str">
        <f>HYPERLINK("https://www.avito.ru/sankt-peterburg/uslugi/priem_metalloloma_vyvoz_metalloloma_demontazh_7901275111","Прием металлолома / Вывоз металлолома / Демонтаж")</f>
      </c>
      <c r="I116" t="s">
        <v>74</v>
      </c>
      <c r="J116" t="s">
        <v>176</v>
      </c>
      <c r="K116" t="s">
        <v>177</v>
      </c>
      <c r="L116">
        <v>17</v>
      </c>
      <c r="M116" t="s">
        <v>83</v>
      </c>
      <c r="N116">
        <v>8</v>
      </c>
      <c r="O116" s="4">
        <v>0.25</v>
      </c>
      <c r="P116">
        <v>2</v>
      </c>
      <c r="Q116" s="5">
        <v>50.4</v>
      </c>
      <c r="R116" s="4">
        <v>0</v>
      </c>
      <c r="S116">
        <v>0</v>
      </c>
      <c r="T116">
        <v>0</v>
      </c>
      <c r="U116">
        <v>0</v>
      </c>
      <c r="V116">
        <v>0</v>
      </c>
      <c r="W116">
        <v>0</v>
      </c>
      <c r="X116" s="5" t="s">
        <v>83</v>
      </c>
      <c r="Y116">
        <v>0</v>
      </c>
      <c r="Z116" s="5">
        <v>100.8</v>
      </c>
      <c r="AA116" s="5">
        <v>0</v>
      </c>
      <c r="AB116" s="5">
        <v>100.8</v>
      </c>
      <c r="AC116" s="5">
        <v>0</v>
      </c>
      <c r="AD116" s="5">
        <v>0</v>
      </c>
    </row>
    <row r="117">
      <c r="A117" s="2" t="str">
        <f>HYPERLINK("https://www.avito.ru/syasstroy/uslugi/priem_metalloloma_vyvoz_metalloloma_demontazh_7804993312","7804993312")</f>
      </c>
      <c r="B117" t="s">
        <v>116</v>
      </c>
      <c r="C117" t="s">
        <v>178</v>
      </c>
      <c r="D117" t="s">
        <v>179</v>
      </c>
      <c r="E117" t="s">
        <v>33</v>
      </c>
      <c r="F117" t="s">
        <v>34</v>
      </c>
      <c r="G117" t="s">
        <v>35</v>
      </c>
      <c r="H117" s="3" t="str">
        <f>HYPERLINK("https://www.avito.ru/syasstroy/uslugi/priem_metalloloma_vyvoz_metalloloma_demontazh_7804993312","Прием металлолома / вывоз металлолома / демонтаж")</f>
      </c>
      <c r="I117" t="s">
        <v>121</v>
      </c>
      <c r="J117" t="s">
        <v>53</v>
      </c>
      <c r="K117" t="s">
        <v>118</v>
      </c>
      <c r="L117">
        <v>71</v>
      </c>
      <c r="M117" t="s">
        <v>39</v>
      </c>
      <c r="N117">
        <v>7</v>
      </c>
      <c r="O117" s="4">
        <v>0.1428</v>
      </c>
      <c r="P117">
        <v>1</v>
      </c>
      <c r="Q117" s="5">
        <v>21.6</v>
      </c>
      <c r="R117" s="4">
        <v>0</v>
      </c>
      <c r="S117">
        <v>0</v>
      </c>
      <c r="T117">
        <v>0</v>
      </c>
      <c r="U117">
        <v>0</v>
      </c>
      <c r="V117">
        <v>0</v>
      </c>
      <c r="W117">
        <v>0</v>
      </c>
      <c r="X117" s="5" t="s">
        <v>83</v>
      </c>
      <c r="Y117">
        <v>0</v>
      </c>
      <c r="Z117" s="5">
        <v>21.6</v>
      </c>
      <c r="AA117" s="5">
        <v>0</v>
      </c>
      <c r="AB117" s="5">
        <v>21.6</v>
      </c>
      <c r="AC117" s="5">
        <v>0</v>
      </c>
      <c r="AD117" s="5">
        <v>0</v>
      </c>
    </row>
    <row r="118">
      <c r="A118" s="2" t="str">
        <f>HYPERLINK("https://www.avito.ru/lodeynoe_pole/uslugi/skupka_i_vyvoz_metalloloma_v_spb_i_lo_s_demontazhem_7805034704","7805034704")</f>
      </c>
      <c r="B118" t="s">
        <v>116</v>
      </c>
      <c r="C118" t="s">
        <v>180</v>
      </c>
      <c r="D118" t="s">
        <v>180</v>
      </c>
      <c r="E118" t="s">
        <v>33</v>
      </c>
      <c r="F118" t="s">
        <v>34</v>
      </c>
      <c r="G118" t="s">
        <v>35</v>
      </c>
      <c r="H118" s="3" t="str">
        <f>HYPERLINK("https://www.avito.ru/lodeynoe_pole/uslugi/skupka_i_vyvoz_metalloloma_v_spb_i_lo_s_demontazhem_7805034704","Скупка и вывоз металлолома в СПб и ло с демонтажем")</f>
      </c>
      <c r="I118" t="s">
        <v>109</v>
      </c>
      <c r="J118" t="s">
        <v>53</v>
      </c>
      <c r="K118" t="s">
        <v>118</v>
      </c>
      <c r="L118">
        <v>71</v>
      </c>
      <c r="M118" t="s">
        <v>39</v>
      </c>
      <c r="N118">
        <v>6</v>
      </c>
      <c r="O118" s="4">
        <v>0.1666</v>
      </c>
      <c r="P118">
        <v>1</v>
      </c>
      <c r="Q118" s="5">
        <v>21.6</v>
      </c>
      <c r="R118" s="4">
        <v>0</v>
      </c>
      <c r="S118">
        <v>0</v>
      </c>
      <c r="T118">
        <v>0</v>
      </c>
      <c r="U118">
        <v>0</v>
      </c>
      <c r="V118">
        <v>0</v>
      </c>
      <c r="W118">
        <v>0</v>
      </c>
      <c r="X118" s="5" t="s">
        <v>83</v>
      </c>
      <c r="Y118">
        <v>0</v>
      </c>
      <c r="Z118" s="5">
        <v>21.6</v>
      </c>
      <c r="AA118" s="5">
        <v>0</v>
      </c>
      <c r="AB118" s="5">
        <v>21.6</v>
      </c>
      <c r="AC118" s="5">
        <v>0</v>
      </c>
      <c r="AD118" s="5">
        <v>0</v>
      </c>
    </row>
    <row r="119">
      <c r="A119" s="2" t="str">
        <f>HYPERLINK("https://www.avito.ru/sankt-peterburg/uslugi/priem_i_vyvoz_metalloloma_samovyvoz_loma_7805131284","7805131284")</f>
      </c>
      <c r="B119" t="s">
        <v>55</v>
      </c>
      <c r="C119" t="s">
        <v>49</v>
      </c>
      <c r="D119" t="s">
        <v>157</v>
      </c>
      <c r="E119" t="s">
        <v>33</v>
      </c>
      <c r="F119" t="s">
        <v>34</v>
      </c>
      <c r="G119" t="s">
        <v>35</v>
      </c>
      <c r="H119" s="3" t="str">
        <f>HYPERLINK("https://www.avito.ru/sankt-peterburg/uslugi/priem_i_vyvoz_metalloloma_samovyvoz_loma_7805131284","Прием и вывоз металлолома / Самовывоз лома")</f>
      </c>
      <c r="I119" t="s">
        <v>181</v>
      </c>
      <c r="J119" t="s">
        <v>94</v>
      </c>
      <c r="K119" t="s">
        <v>182</v>
      </c>
      <c r="L119">
        <v>72</v>
      </c>
      <c r="M119" t="s">
        <v>39</v>
      </c>
      <c r="N119">
        <v>13</v>
      </c>
      <c r="O119" s="4">
        <v>0.0769</v>
      </c>
      <c r="P119">
        <v>1</v>
      </c>
      <c r="Q119" s="5">
        <v>86.4</v>
      </c>
      <c r="R119" s="4">
        <v>1</v>
      </c>
      <c r="S119">
        <v>1</v>
      </c>
      <c r="T119">
        <v>0</v>
      </c>
      <c r="U119">
        <v>1</v>
      </c>
      <c r="V119">
        <v>0</v>
      </c>
      <c r="W119">
        <v>0</v>
      </c>
      <c r="X119" s="5">
        <v>86.4</v>
      </c>
      <c r="Y119">
        <v>0</v>
      </c>
      <c r="Z119" s="5">
        <v>86.4</v>
      </c>
      <c r="AA119" s="5">
        <v>0</v>
      </c>
      <c r="AB119" s="5">
        <v>86.4</v>
      </c>
      <c r="AC119" s="5">
        <v>0</v>
      </c>
      <c r="AD119" s="5">
        <v>0</v>
      </c>
    </row>
    <row r="120">
      <c r="A120" s="2" t="str">
        <f>HYPERLINK("https://www.avito.ru/sankt-peterburg_pushkin/uslugi/priem_kabelya_provodov_7805201675","7805201675")</f>
      </c>
      <c r="B120" t="s">
        <v>49</v>
      </c>
      <c r="C120" t="s">
        <v>89</v>
      </c>
      <c r="D120" t="s">
        <v>90</v>
      </c>
      <c r="E120" t="s">
        <v>33</v>
      </c>
      <c r="F120" t="s">
        <v>34</v>
      </c>
      <c r="G120" t="s">
        <v>35</v>
      </c>
      <c r="H120" s="3" t="str">
        <f>HYPERLINK("https://www.avito.ru/sankt-peterburg_pushkin/uslugi/priem_kabelya_provodov_7805201675","Прием кабеля, проводов")</f>
      </c>
      <c r="I120" t="s">
        <v>183</v>
      </c>
      <c r="J120" t="s">
        <v>53</v>
      </c>
      <c r="K120" t="s">
        <v>54</v>
      </c>
      <c r="L120">
        <v>71</v>
      </c>
      <c r="M120" t="s">
        <v>39</v>
      </c>
      <c r="N120">
        <v>10</v>
      </c>
      <c r="O120" s="4">
        <v>0.1</v>
      </c>
      <c r="P120">
        <v>1</v>
      </c>
      <c r="Q120" s="5">
        <v>100.8</v>
      </c>
      <c r="R120" s="4">
        <v>0</v>
      </c>
      <c r="S120">
        <v>0</v>
      </c>
      <c r="T120">
        <v>0</v>
      </c>
      <c r="U120">
        <v>0</v>
      </c>
      <c r="V120">
        <v>0</v>
      </c>
      <c r="W120">
        <v>0</v>
      </c>
      <c r="X120" s="5" t="s">
        <v>83</v>
      </c>
      <c r="Y120">
        <v>0</v>
      </c>
      <c r="Z120" s="5">
        <v>100.8</v>
      </c>
      <c r="AA120" s="5">
        <v>0</v>
      </c>
      <c r="AB120" s="5">
        <v>100.8</v>
      </c>
      <c r="AC120" s="5">
        <v>0</v>
      </c>
      <c r="AD120" s="5">
        <v>0</v>
      </c>
    </row>
    <row r="121">
      <c r="A121" s="2" t="str">
        <f>HYPERLINK("https://www.avito.ru/sankt-peterburg/uslugi/priem_kabelya_provodov_7805319819","7805319819")</f>
      </c>
      <c r="B121" t="s">
        <v>55</v>
      </c>
      <c r="C121" t="s">
        <v>49</v>
      </c>
      <c r="D121" t="s">
        <v>184</v>
      </c>
      <c r="E121" t="s">
        <v>33</v>
      </c>
      <c r="F121" t="s">
        <v>34</v>
      </c>
      <c r="G121" t="s">
        <v>35</v>
      </c>
      <c r="H121" s="3" t="str">
        <f>HYPERLINK("https://www.avito.ru/sankt-peterburg/uslugi/priem_kabelya_provodov_7805319819","Прием кабеля, проводов")</f>
      </c>
      <c r="I121" t="s">
        <v>183</v>
      </c>
      <c r="J121" t="s">
        <v>53</v>
      </c>
      <c r="K121" t="s">
        <v>54</v>
      </c>
      <c r="L121">
        <v>71</v>
      </c>
      <c r="M121" t="s">
        <v>39</v>
      </c>
      <c r="N121">
        <v>7</v>
      </c>
      <c r="O121" s="4">
        <v>0.1428</v>
      </c>
      <c r="P121">
        <v>1</v>
      </c>
      <c r="Q121" s="5">
        <v>100.8</v>
      </c>
      <c r="R121" s="4">
        <v>0</v>
      </c>
      <c r="S121">
        <v>0</v>
      </c>
      <c r="T121">
        <v>0</v>
      </c>
      <c r="U121">
        <v>0</v>
      </c>
      <c r="V121">
        <v>0</v>
      </c>
      <c r="W121">
        <v>0</v>
      </c>
      <c r="X121" s="5" t="s">
        <v>83</v>
      </c>
      <c r="Y121">
        <v>0</v>
      </c>
      <c r="Z121" s="5">
        <v>100.8</v>
      </c>
      <c r="AA121" s="5">
        <v>0</v>
      </c>
      <c r="AB121" s="5">
        <v>100.8</v>
      </c>
      <c r="AC121" s="5">
        <v>0</v>
      </c>
      <c r="AD121" s="5">
        <v>0</v>
      </c>
    </row>
    <row r="122">
      <c r="A122" s="2" t="str">
        <f>HYPERLINK("https://www.avito.ru/kudrovo/uslugi/priem_i_vyvoz_metalloloma_7805352862","7805352862")</f>
      </c>
      <c r="B122" t="s">
        <v>116</v>
      </c>
      <c r="C122" t="s">
        <v>185</v>
      </c>
      <c r="D122" t="s">
        <v>186</v>
      </c>
      <c r="E122" t="s">
        <v>33</v>
      </c>
      <c r="F122" t="s">
        <v>34</v>
      </c>
      <c r="G122" t="s">
        <v>35</v>
      </c>
      <c r="H122" s="3" t="str">
        <f>HYPERLINK("https://www.avito.ru/kudrovo/uslugi/priem_i_vyvoz_metalloloma_7805352862","Прием и вывоз металлолома")</f>
      </c>
      <c r="I122" t="s">
        <v>121</v>
      </c>
      <c r="J122" t="s">
        <v>53</v>
      </c>
      <c r="K122" t="s">
        <v>118</v>
      </c>
      <c r="L122">
        <v>71</v>
      </c>
      <c r="M122" t="s">
        <v>39</v>
      </c>
      <c r="N122">
        <v>3</v>
      </c>
      <c r="O122" s="4">
        <v>0.3333</v>
      </c>
      <c r="P122">
        <v>1</v>
      </c>
      <c r="Q122" s="5">
        <v>21.6</v>
      </c>
      <c r="R122" s="4">
        <v>0</v>
      </c>
      <c r="S122">
        <v>0</v>
      </c>
      <c r="T122">
        <v>0</v>
      </c>
      <c r="U122">
        <v>0</v>
      </c>
      <c r="V122">
        <v>0</v>
      </c>
      <c r="W122">
        <v>0</v>
      </c>
      <c r="X122" s="5" t="s">
        <v>83</v>
      </c>
      <c r="Y122">
        <v>0</v>
      </c>
      <c r="Z122" s="5">
        <v>21.6</v>
      </c>
      <c r="AA122" s="5">
        <v>0</v>
      </c>
      <c r="AB122" s="5">
        <v>21.6</v>
      </c>
      <c r="AC122" s="5">
        <v>0</v>
      </c>
      <c r="AD122" s="5">
        <v>0</v>
      </c>
    </row>
    <row r="123">
      <c r="A123" s="2" t="str">
        <f>HYPERLINK("https://www.avito.ru/sertolovo/uslugi/sdat_metallolom_spb_i_lo_7805762058","7805762058")</f>
      </c>
      <c r="B123" t="s">
        <v>116</v>
      </c>
      <c r="C123" t="s">
        <v>187</v>
      </c>
      <c r="D123" t="s">
        <v>188</v>
      </c>
      <c r="E123" t="s">
        <v>33</v>
      </c>
      <c r="F123" t="s">
        <v>34</v>
      </c>
      <c r="G123" t="s">
        <v>35</v>
      </c>
      <c r="H123" s="3" t="str">
        <f>HYPERLINK("https://www.avito.ru/sertolovo/uslugi/sdat_metallolom_spb_i_lo_7805762058","Сдать металлолом СПБ и ло")</f>
      </c>
      <c r="I123" t="s">
        <v>166</v>
      </c>
      <c r="J123" t="s">
        <v>53</v>
      </c>
      <c r="K123" t="s">
        <v>118</v>
      </c>
      <c r="L123">
        <v>71</v>
      </c>
      <c r="M123" t="s">
        <v>39</v>
      </c>
      <c r="N123">
        <v>4</v>
      </c>
      <c r="O123" s="4">
        <v>0.25</v>
      </c>
      <c r="P123">
        <v>1</v>
      </c>
      <c r="Q123" s="5">
        <v>21.6</v>
      </c>
      <c r="R123" s="4">
        <v>0</v>
      </c>
      <c r="S123">
        <v>0</v>
      </c>
      <c r="T123">
        <v>0</v>
      </c>
      <c r="U123">
        <v>0</v>
      </c>
      <c r="V123">
        <v>0</v>
      </c>
      <c r="W123">
        <v>0</v>
      </c>
      <c r="X123" s="5" t="s">
        <v>83</v>
      </c>
      <c r="Y123">
        <v>0</v>
      </c>
      <c r="Z123" s="5">
        <v>21.6</v>
      </c>
      <c r="AA123" s="5">
        <v>0</v>
      </c>
      <c r="AB123" s="5">
        <v>21.6</v>
      </c>
      <c r="AC123" s="5">
        <v>0</v>
      </c>
      <c r="AD123" s="5">
        <v>0</v>
      </c>
    </row>
    <row r="124">
      <c r="A124" s="2" t="str">
        <f>HYPERLINK("https://www.avito.ru/vysotsk/uslugi/priem_i_vyvoz_metalloloma_samovyvoz_loma_7805784940","7805784940")</f>
      </c>
      <c r="B124" t="s">
        <v>116</v>
      </c>
      <c r="C124" t="s">
        <v>189</v>
      </c>
      <c r="D124" t="s">
        <v>190</v>
      </c>
      <c r="E124" t="s">
        <v>33</v>
      </c>
      <c r="F124" t="s">
        <v>34</v>
      </c>
      <c r="G124" t="s">
        <v>35</v>
      </c>
      <c r="H124" s="3" t="str">
        <f>HYPERLINK("https://www.avito.ru/vysotsk/uslugi/priem_i_vyvoz_metalloloma_samovyvoz_loma_7805784940","Прием и вывоз металлолома / Самовывоз лома")</f>
      </c>
      <c r="I124" t="s">
        <v>166</v>
      </c>
      <c r="J124" t="s">
        <v>53</v>
      </c>
      <c r="K124" t="s">
        <v>118</v>
      </c>
      <c r="L124">
        <v>71</v>
      </c>
      <c r="M124" t="s">
        <v>39</v>
      </c>
      <c r="N124">
        <v>1</v>
      </c>
      <c r="O124" s="4">
        <v>1</v>
      </c>
      <c r="P124">
        <v>1</v>
      </c>
      <c r="Q124" s="5">
        <v>21.6</v>
      </c>
      <c r="R124" s="4">
        <v>0</v>
      </c>
      <c r="S124">
        <v>0</v>
      </c>
      <c r="T124">
        <v>0</v>
      </c>
      <c r="U124">
        <v>0</v>
      </c>
      <c r="V124">
        <v>0</v>
      </c>
      <c r="W124">
        <v>0</v>
      </c>
      <c r="X124" s="5" t="s">
        <v>83</v>
      </c>
      <c r="Y124">
        <v>0</v>
      </c>
      <c r="Z124" s="5">
        <v>21.6</v>
      </c>
      <c r="AA124" s="5">
        <v>0</v>
      </c>
      <c r="AB124" s="5">
        <v>21.6</v>
      </c>
      <c r="AC124" s="5">
        <v>0</v>
      </c>
      <c r="AD124" s="5">
        <v>0</v>
      </c>
    </row>
    <row r="125">
      <c r="A125" s="2" t="str">
        <f>HYPERLINK("https://www.avito.ru/sankt-peterburg_sestroretsk/uslugi/skupka_i_vyvoz_metalloloma_v_spb_i_lo_s_demontazhem_7805929674","7805929674")</f>
      </c>
      <c r="B125" t="s">
        <v>49</v>
      </c>
      <c r="C125" t="s">
        <v>106</v>
      </c>
      <c r="D125" t="s">
        <v>107</v>
      </c>
      <c r="E125" t="s">
        <v>33</v>
      </c>
      <c r="F125" t="s">
        <v>34</v>
      </c>
      <c r="G125" t="s">
        <v>35</v>
      </c>
      <c r="H125" s="3" t="str">
        <f>HYPERLINK("https://www.avito.ru/sankt-peterburg_sestroretsk/uslugi/skupka_i_vyvoz_metalloloma_v_spb_i_lo_s_demontazhem_7805929674","Скупка и вывоз металлолома в СПб и ло с демонтажем")</f>
      </c>
      <c r="I125" t="s">
        <v>191</v>
      </c>
      <c r="J125" t="s">
        <v>53</v>
      </c>
      <c r="K125" t="s">
        <v>54</v>
      </c>
      <c r="L125">
        <v>71</v>
      </c>
      <c r="M125" t="s">
        <v>39</v>
      </c>
      <c r="N125">
        <v>4</v>
      </c>
      <c r="O125" s="4">
        <v>0.25</v>
      </c>
      <c r="P125">
        <v>1</v>
      </c>
      <c r="Q125" s="5">
        <v>100.8</v>
      </c>
      <c r="R125" s="4">
        <v>0</v>
      </c>
      <c r="S125">
        <v>0</v>
      </c>
      <c r="T125">
        <v>0</v>
      </c>
      <c r="U125">
        <v>0</v>
      </c>
      <c r="V125">
        <v>0</v>
      </c>
      <c r="W125">
        <v>0</v>
      </c>
      <c r="X125" s="5" t="s">
        <v>83</v>
      </c>
      <c r="Y125">
        <v>1</v>
      </c>
      <c r="Z125" s="5">
        <v>100.8</v>
      </c>
      <c r="AA125" s="5">
        <v>0</v>
      </c>
      <c r="AB125" s="5">
        <v>100.8</v>
      </c>
      <c r="AC125" s="5">
        <v>0</v>
      </c>
      <c r="AD125" s="5">
        <v>0</v>
      </c>
    </row>
    <row r="126">
      <c r="A126" s="2" t="str">
        <f>HYPERLINK("https://www.avito.ru/sankt-peterburg/uslugi/priem_struzhki_olovasdat_olovosdat_rzm_7836944674","7836944674")</f>
      </c>
      <c r="B126" t="s">
        <v>55</v>
      </c>
      <c r="C126" t="s">
        <v>49</v>
      </c>
      <c r="D126" t="s">
        <v>192</v>
      </c>
      <c r="E126" t="s">
        <v>33</v>
      </c>
      <c r="F126" t="s">
        <v>34</v>
      </c>
      <c r="G126" t="s">
        <v>35</v>
      </c>
      <c r="H126" s="3" t="str">
        <f>HYPERLINK("https://www.avito.ru/sankt-peterburg/uslugi/priem_struzhki_olovasdat_olovosdat_rzm_7836944674","Прием стружки Олова/сдать олово/сдать рзм")</f>
      </c>
      <c r="I126" t="s">
        <v>139</v>
      </c>
      <c r="J126" t="s">
        <v>60</v>
      </c>
      <c r="K126" t="s">
        <v>66</v>
      </c>
      <c r="L126">
        <v>45</v>
      </c>
      <c r="M126" t="s">
        <v>62</v>
      </c>
      <c r="N126">
        <v>3</v>
      </c>
      <c r="O126" s="4">
        <v>0.3333</v>
      </c>
      <c r="P126">
        <v>1</v>
      </c>
      <c r="Q126" s="5">
        <v>100.8</v>
      </c>
      <c r="R126" s="4">
        <v>0</v>
      </c>
      <c r="S126">
        <v>0</v>
      </c>
      <c r="T126">
        <v>0</v>
      </c>
      <c r="U126">
        <v>0</v>
      </c>
      <c r="V126">
        <v>0</v>
      </c>
      <c r="W126">
        <v>0</v>
      </c>
      <c r="X126" s="5" t="s">
        <v>83</v>
      </c>
      <c r="Y126">
        <v>0</v>
      </c>
      <c r="Z126" s="5">
        <v>100.8</v>
      </c>
      <c r="AA126" s="5">
        <v>0</v>
      </c>
      <c r="AB126" s="5">
        <v>100.8</v>
      </c>
      <c r="AC126" s="5">
        <v>0</v>
      </c>
      <c r="AD126" s="5">
        <v>0</v>
      </c>
    </row>
    <row r="127">
      <c r="A127" s="2" t="str">
        <f>HYPERLINK("https://www.avito.ru/arhangelsk/uslugi/vyvoz_metalloloma_nerzhaveyka_bu_7837610029","7837610029")</f>
      </c>
      <c r="B127" t="s">
        <v>30</v>
      </c>
      <c r="C127" t="s">
        <v>31</v>
      </c>
      <c r="D127" t="s">
        <v>32</v>
      </c>
      <c r="E127" t="s">
        <v>33</v>
      </c>
      <c r="F127" t="s">
        <v>34</v>
      </c>
      <c r="G127" t="s">
        <v>35</v>
      </c>
      <c r="H127" s="3" t="str">
        <f>HYPERLINK("https://www.avito.ru/arhangelsk/uslugi/vyvoz_metalloloma_nerzhaveyka_bu_7837610029","Вывоз металлолома / нержавейка бу")</f>
      </c>
      <c r="I127" t="s">
        <v>136</v>
      </c>
      <c r="J127" t="s">
        <v>37</v>
      </c>
      <c r="K127" t="s">
        <v>38</v>
      </c>
      <c r="L127">
        <v>44</v>
      </c>
      <c r="M127" t="s">
        <v>39</v>
      </c>
      <c r="N127">
        <v>12</v>
      </c>
      <c r="O127" s="4">
        <v>0.0833</v>
      </c>
      <c r="P127">
        <v>1</v>
      </c>
      <c r="Q127" s="5">
        <v>37.8</v>
      </c>
      <c r="R127" s="4">
        <v>0</v>
      </c>
      <c r="S127">
        <v>0</v>
      </c>
      <c r="T127">
        <v>0</v>
      </c>
      <c r="U127">
        <v>0</v>
      </c>
      <c r="V127">
        <v>0</v>
      </c>
      <c r="W127">
        <v>0</v>
      </c>
      <c r="X127" s="5" t="s">
        <v>83</v>
      </c>
      <c r="Y127">
        <v>0</v>
      </c>
      <c r="Z127" s="5">
        <v>37.8</v>
      </c>
      <c r="AA127" s="5">
        <v>0</v>
      </c>
      <c r="AB127" s="5">
        <v>37.8</v>
      </c>
      <c r="AC127" s="5">
        <v>0</v>
      </c>
      <c r="AD127" s="5">
        <v>0</v>
      </c>
    </row>
    <row r="128">
      <c r="A128" s="2" t="str">
        <f>HYPERLINK("https://www.avito.ru/sankt-peterburg/uslugi/sdat_volfram_chistyyskupka_loma_7837771156","7837771156")</f>
      </c>
      <c r="B128" t="s">
        <v>55</v>
      </c>
      <c r="C128" t="s">
        <v>49</v>
      </c>
      <c r="D128" t="s">
        <v>138</v>
      </c>
      <c r="E128" t="s">
        <v>33</v>
      </c>
      <c r="F128" t="s">
        <v>34</v>
      </c>
      <c r="G128" t="s">
        <v>35</v>
      </c>
      <c r="H128" s="3" t="str">
        <f>HYPERLINK("https://www.avito.ru/sankt-peterburg/uslugi/sdat_volfram_chistyyskupka_loma_7837771156","Сдать Вольфрам чистый/скупка лома")</f>
      </c>
      <c r="I128" t="s">
        <v>139</v>
      </c>
      <c r="J128" t="s">
        <v>60</v>
      </c>
      <c r="K128" t="s">
        <v>66</v>
      </c>
      <c r="L128">
        <v>45</v>
      </c>
      <c r="M128" t="s">
        <v>62</v>
      </c>
      <c r="N128">
        <v>8</v>
      </c>
      <c r="O128" s="4">
        <v>0.125</v>
      </c>
      <c r="P128">
        <v>1</v>
      </c>
      <c r="Q128" s="5">
        <v>100.8</v>
      </c>
      <c r="R128" s="4">
        <v>0</v>
      </c>
      <c r="S128">
        <v>0</v>
      </c>
      <c r="T128">
        <v>0</v>
      </c>
      <c r="U128">
        <v>0</v>
      </c>
      <c r="V128">
        <v>0</v>
      </c>
      <c r="W128">
        <v>0</v>
      </c>
      <c r="X128" s="5" t="s">
        <v>83</v>
      </c>
      <c r="Y128">
        <v>0</v>
      </c>
      <c r="Z128" s="5">
        <v>100.8</v>
      </c>
      <c r="AA128" s="5">
        <v>0</v>
      </c>
      <c r="AB128" s="5">
        <v>100.8</v>
      </c>
      <c r="AC128" s="5">
        <v>0</v>
      </c>
      <c r="AD128" s="5">
        <v>0</v>
      </c>
    </row>
    <row r="129">
      <c r="A129" s="2" t="str">
        <f>HYPERLINK("https://www.avito.ru/sankt-peterburg/uslugi/sdat_lom_titanapriem_titanapriem_loma_7837891840","7837891840")</f>
      </c>
      <c r="B129" t="s">
        <v>55</v>
      </c>
      <c r="C129" t="s">
        <v>49</v>
      </c>
      <c r="D129" t="s">
        <v>58</v>
      </c>
      <c r="E129" t="s">
        <v>33</v>
      </c>
      <c r="F129" t="s">
        <v>34</v>
      </c>
      <c r="G129" t="s">
        <v>35</v>
      </c>
      <c r="H129" s="3" t="str">
        <f>HYPERLINK("https://www.avito.ru/sankt-peterburg/uslugi/sdat_lom_titanapriem_titanapriem_loma_7837891840","Сдать лом титана/прием титана/прием лома")</f>
      </c>
      <c r="I129" t="s">
        <v>141</v>
      </c>
      <c r="J129" t="s">
        <v>60</v>
      </c>
      <c r="K129" t="s">
        <v>66</v>
      </c>
      <c r="L129">
        <v>45</v>
      </c>
      <c r="M129" t="s">
        <v>62</v>
      </c>
      <c r="N129">
        <v>7</v>
      </c>
      <c r="O129" s="4">
        <v>0.1428</v>
      </c>
      <c r="P129">
        <v>1</v>
      </c>
      <c r="Q129" s="5">
        <v>100.8</v>
      </c>
      <c r="R129" s="4">
        <v>0</v>
      </c>
      <c r="S129">
        <v>0</v>
      </c>
      <c r="T129">
        <v>0</v>
      </c>
      <c r="U129">
        <v>0</v>
      </c>
      <c r="V129">
        <v>0</v>
      </c>
      <c r="W129">
        <v>0</v>
      </c>
      <c r="X129" s="5" t="s">
        <v>83</v>
      </c>
      <c r="Y129">
        <v>0</v>
      </c>
      <c r="Z129" s="5">
        <v>100.8</v>
      </c>
      <c r="AA129" s="5">
        <v>0</v>
      </c>
      <c r="AB129" s="5">
        <v>100.8</v>
      </c>
      <c r="AC129" s="5">
        <v>0</v>
      </c>
      <c r="AD129" s="5">
        <v>0</v>
      </c>
    </row>
    <row r="130">
      <c r="A130" s="2" t="str">
        <f>HYPERLINK("https://www.avito.ru/pskov/uslugi/priem_i_vyvoz_metalloloma_spb_i_lo_7868930643","7868930643")</f>
      </c>
      <c r="B130" t="s">
        <v>67</v>
      </c>
      <c r="C130" t="s">
        <v>68</v>
      </c>
      <c r="D130" t="s">
        <v>69</v>
      </c>
      <c r="E130" t="s">
        <v>33</v>
      </c>
      <c r="F130" t="s">
        <v>34</v>
      </c>
      <c r="G130" t="s">
        <v>35</v>
      </c>
      <c r="H130" s="3" t="str">
        <f>HYPERLINK("https://www.avito.ru/pskov/uslugi/priem_i_vyvoz_metalloloma_spb_i_lo_7868930643","Прием и вывоз металлолома СПБ и ло")</f>
      </c>
      <c r="I130" t="s">
        <v>136</v>
      </c>
      <c r="J130" t="s">
        <v>71</v>
      </c>
      <c r="K130" t="s">
        <v>72</v>
      </c>
      <c r="L130">
        <v>36</v>
      </c>
      <c r="M130" t="s">
        <v>39</v>
      </c>
      <c r="N130">
        <v>5</v>
      </c>
      <c r="O130" s="4">
        <v>0.2</v>
      </c>
      <c r="P130">
        <v>1</v>
      </c>
      <c r="Q130" s="5">
        <v>31.2</v>
      </c>
      <c r="R130" s="4">
        <v>0</v>
      </c>
      <c r="S130">
        <v>0</v>
      </c>
      <c r="T130">
        <v>0</v>
      </c>
      <c r="U130">
        <v>0</v>
      </c>
      <c r="V130">
        <v>0</v>
      </c>
      <c r="W130">
        <v>0</v>
      </c>
      <c r="X130" s="5" t="s">
        <v>83</v>
      </c>
      <c r="Y130">
        <v>0</v>
      </c>
      <c r="Z130" s="5">
        <v>31.2</v>
      </c>
      <c r="AA130" s="5">
        <v>0</v>
      </c>
      <c r="AB130" s="5">
        <v>31.2</v>
      </c>
      <c r="AC130" s="5">
        <v>0</v>
      </c>
      <c r="AD130" s="5">
        <v>0</v>
      </c>
    </row>
    <row r="131">
      <c r="A131" s="2" t="str">
        <f>HYPERLINK("https://www.avito.ru/vologda/uslugi/priem_i_vyvoz_metalloloma_7869259759","7869259759")</f>
      </c>
      <c r="B131" t="s">
        <v>40</v>
      </c>
      <c r="C131" t="s">
        <v>81</v>
      </c>
      <c r="D131" t="s">
        <v>82</v>
      </c>
      <c r="E131" t="s">
        <v>33</v>
      </c>
      <c r="F131" t="s">
        <v>34</v>
      </c>
      <c r="G131" t="s">
        <v>35</v>
      </c>
      <c r="H131" s="3" t="str">
        <f>HYPERLINK("https://www.avito.ru/vologda/uslugi/priem_i_vyvoz_metalloloma_7869259759","Прием и вывоз металлолома")</f>
      </c>
      <c r="I131" t="s">
        <v>111</v>
      </c>
      <c r="J131" t="s">
        <v>71</v>
      </c>
      <c r="K131" t="s">
        <v>72</v>
      </c>
      <c r="L131">
        <v>36</v>
      </c>
      <c r="M131" t="s">
        <v>39</v>
      </c>
      <c r="N131">
        <v>6</v>
      </c>
      <c r="O131" s="4">
        <v>0.1666</v>
      </c>
      <c r="P131">
        <v>1</v>
      </c>
      <c r="Q131" s="5">
        <v>36</v>
      </c>
      <c r="R131" s="4">
        <v>0</v>
      </c>
      <c r="S131">
        <v>0</v>
      </c>
      <c r="T131">
        <v>0</v>
      </c>
      <c r="U131">
        <v>0</v>
      </c>
      <c r="V131">
        <v>0</v>
      </c>
      <c r="W131">
        <v>0</v>
      </c>
      <c r="X131" s="5" t="s">
        <v>83</v>
      </c>
      <c r="Y131">
        <v>0</v>
      </c>
      <c r="Z131" s="5">
        <v>36</v>
      </c>
      <c r="AA131" s="5">
        <v>0</v>
      </c>
      <c r="AB131" s="5">
        <v>36</v>
      </c>
      <c r="AC131" s="5">
        <v>0</v>
      </c>
      <c r="AD131" s="5">
        <v>0</v>
      </c>
    </row>
    <row r="132">
      <c r="A132" s="2" t="str">
        <f>HYPERLINK("https://www.avito.ru/sankt-peterburg/uslugi/priem_tsvetnogo_metalloloma_7869389947","7869389947")</f>
      </c>
      <c r="B132" t="s">
        <v>55</v>
      </c>
      <c r="C132" t="s">
        <v>49</v>
      </c>
      <c r="D132" t="s">
        <v>154</v>
      </c>
      <c r="E132" t="s">
        <v>33</v>
      </c>
      <c r="F132" t="s">
        <v>34</v>
      </c>
      <c r="G132" t="s">
        <v>35</v>
      </c>
      <c r="H132" s="3" t="str">
        <f>HYPERLINK("https://www.avito.ru/sankt-peterburg/uslugi/priem_tsvetnogo_metalloloma_7869389947","Прием цветного металлолома")</f>
      </c>
      <c r="I132" t="s">
        <v>101</v>
      </c>
      <c r="J132" t="s">
        <v>155</v>
      </c>
      <c r="K132" t="s">
        <v>54</v>
      </c>
      <c r="L132">
        <v>41</v>
      </c>
      <c r="M132" t="s">
        <v>39</v>
      </c>
      <c r="N132">
        <v>1</v>
      </c>
      <c r="O132" s="4">
        <v>1</v>
      </c>
      <c r="P132">
        <v>1</v>
      </c>
      <c r="Q132" s="5">
        <v>72</v>
      </c>
      <c r="R132" s="4">
        <v>0</v>
      </c>
      <c r="S132">
        <v>0</v>
      </c>
      <c r="T132">
        <v>0</v>
      </c>
      <c r="U132">
        <v>0</v>
      </c>
      <c r="V132">
        <v>0</v>
      </c>
      <c r="W132">
        <v>0</v>
      </c>
      <c r="X132" s="5" t="s">
        <v>83</v>
      </c>
      <c r="Y132">
        <v>0</v>
      </c>
      <c r="Z132" s="5">
        <v>72</v>
      </c>
      <c r="AA132" s="5">
        <v>0</v>
      </c>
      <c r="AB132" s="5">
        <v>72</v>
      </c>
      <c r="AC132" s="5">
        <v>0</v>
      </c>
      <c r="AD132" s="5">
        <v>0</v>
      </c>
    </row>
    <row r="133">
      <c r="A133" s="2" t="str">
        <f>HYPERLINK("https://www.avito.ru/vologda/uslugi/priem_i_vyvoz_metalloloma_spb_i_lo_7869662808","7869662808")</f>
      </c>
      <c r="B133" t="s">
        <v>40</v>
      </c>
      <c r="C133" t="s">
        <v>81</v>
      </c>
      <c r="D133" t="s">
        <v>82</v>
      </c>
      <c r="E133" t="s">
        <v>33</v>
      </c>
      <c r="F133" t="s">
        <v>34</v>
      </c>
      <c r="G133" t="s">
        <v>35</v>
      </c>
      <c r="H133" s="3" t="str">
        <f>HYPERLINK("https://www.avito.ru/vologda/uslugi/priem_i_vyvoz_metalloloma_spb_i_lo_7869662808","Прием и вывоз металлолома СПБ и ло")</f>
      </c>
      <c r="I133" t="s">
        <v>136</v>
      </c>
      <c r="J133" t="s">
        <v>71</v>
      </c>
      <c r="K133" t="s">
        <v>72</v>
      </c>
      <c r="L133">
        <v>36</v>
      </c>
      <c r="M133" t="s">
        <v>39</v>
      </c>
      <c r="N133">
        <v>7</v>
      </c>
      <c r="O133" s="4">
        <v>0.1428</v>
      </c>
      <c r="P133">
        <v>1</v>
      </c>
      <c r="Q133" s="5">
        <v>36</v>
      </c>
      <c r="R133" s="4">
        <v>0</v>
      </c>
      <c r="S133">
        <v>0</v>
      </c>
      <c r="T133">
        <v>0</v>
      </c>
      <c r="U133">
        <v>0</v>
      </c>
      <c r="V133">
        <v>0</v>
      </c>
      <c r="W133">
        <v>0</v>
      </c>
      <c r="X133" s="5" t="s">
        <v>83</v>
      </c>
      <c r="Y133">
        <v>0</v>
      </c>
      <c r="Z133" s="5">
        <v>36</v>
      </c>
      <c r="AA133" s="5">
        <v>0</v>
      </c>
      <c r="AB133" s="5">
        <v>36</v>
      </c>
      <c r="AC133" s="5">
        <v>0</v>
      </c>
      <c r="AD133" s="5">
        <v>0</v>
      </c>
    </row>
    <row r="134">
      <c r="A134" s="2" t="str">
        <f>HYPERLINK("https://www.avito.ru/vologda/uslugi/priem_tsvetnogo_metalloloma_7869795358","7869795358")</f>
      </c>
      <c r="B134" t="s">
        <v>40</v>
      </c>
      <c r="C134" t="s">
        <v>81</v>
      </c>
      <c r="D134" t="s">
        <v>82</v>
      </c>
      <c r="E134" t="s">
        <v>33</v>
      </c>
      <c r="F134" t="s">
        <v>34</v>
      </c>
      <c r="G134" t="s">
        <v>35</v>
      </c>
      <c r="H134" s="3" t="str">
        <f>HYPERLINK("https://www.avito.ru/vologda/uslugi/priem_tsvetnogo_metalloloma_7869795358","Прием цветного металлолома")</f>
      </c>
      <c r="I134" t="s">
        <v>101</v>
      </c>
      <c r="J134" t="s">
        <v>71</v>
      </c>
      <c r="K134" t="s">
        <v>72</v>
      </c>
      <c r="L134">
        <v>36</v>
      </c>
      <c r="M134" t="s">
        <v>39</v>
      </c>
      <c r="N134">
        <v>2</v>
      </c>
      <c r="O134" s="4">
        <v>0.5</v>
      </c>
      <c r="P134">
        <v>1</v>
      </c>
      <c r="Q134" s="5">
        <v>36</v>
      </c>
      <c r="R134" s="4">
        <v>0</v>
      </c>
      <c r="S134">
        <v>0</v>
      </c>
      <c r="T134">
        <v>0</v>
      </c>
      <c r="U134">
        <v>0</v>
      </c>
      <c r="V134">
        <v>0</v>
      </c>
      <c r="W134">
        <v>0</v>
      </c>
      <c r="X134" s="5" t="s">
        <v>83</v>
      </c>
      <c r="Y134">
        <v>0</v>
      </c>
      <c r="Z134" s="5">
        <v>36</v>
      </c>
      <c r="AA134" s="5">
        <v>0</v>
      </c>
      <c r="AB134" s="5">
        <v>36</v>
      </c>
      <c r="AC134" s="5">
        <v>0</v>
      </c>
      <c r="AD134" s="5">
        <v>0</v>
      </c>
    </row>
    <row r="135">
      <c r="A135" s="2" t="str">
        <f>HYPERLINK("https://www.avito.ru/cherepovets/uslugi/priem_provodov._skupka_7869889265","7869889265")</f>
      </c>
      <c r="B135" t="s">
        <v>40</v>
      </c>
      <c r="C135" t="s">
        <v>41</v>
      </c>
      <c r="D135" t="s">
        <v>42</v>
      </c>
      <c r="E135" t="s">
        <v>33</v>
      </c>
      <c r="F135" t="s">
        <v>34</v>
      </c>
      <c r="G135" t="s">
        <v>35</v>
      </c>
      <c r="H135" s="3" t="str">
        <f>HYPERLINK("https://www.avito.ru/cherepovets/uslugi/priem_provodov._skupka_7869889265","Прием проводов. Скупка")</f>
      </c>
      <c r="I135" t="s">
        <v>70</v>
      </c>
      <c r="J135" t="s">
        <v>71</v>
      </c>
      <c r="K135" t="s">
        <v>72</v>
      </c>
      <c r="L135">
        <v>36</v>
      </c>
      <c r="M135" t="s">
        <v>39</v>
      </c>
      <c r="N135">
        <v>10</v>
      </c>
      <c r="O135" s="4">
        <v>0.1</v>
      </c>
      <c r="P135">
        <v>1</v>
      </c>
      <c r="Q135" s="5">
        <v>24</v>
      </c>
      <c r="R135" s="4">
        <v>0</v>
      </c>
      <c r="S135">
        <v>0</v>
      </c>
      <c r="T135">
        <v>0</v>
      </c>
      <c r="U135">
        <v>0</v>
      </c>
      <c r="V135">
        <v>0</v>
      </c>
      <c r="W135">
        <v>0</v>
      </c>
      <c r="X135" s="5" t="s">
        <v>83</v>
      </c>
      <c r="Y135">
        <v>0</v>
      </c>
      <c r="Z135" s="5">
        <v>24</v>
      </c>
      <c r="AA135" s="5">
        <v>0</v>
      </c>
      <c r="AB135" s="5">
        <v>24</v>
      </c>
      <c r="AC135" s="5">
        <v>0</v>
      </c>
      <c r="AD135" s="5">
        <v>0</v>
      </c>
    </row>
    <row r="136">
      <c r="A136" s="2" t="str">
        <f>HYPERLINK("https://www.avito.ru/sankt-peterburg/uslugi/priem_i_vyvoz_kabelya_i_provoda_sdat_kabel_7869891307","7869891307")</f>
      </c>
      <c r="B136" t="s">
        <v>55</v>
      </c>
      <c r="C136" t="s">
        <v>49</v>
      </c>
      <c r="D136" t="s">
        <v>97</v>
      </c>
      <c r="E136" t="s">
        <v>33</v>
      </c>
      <c r="F136" t="s">
        <v>34</v>
      </c>
      <c r="G136" t="s">
        <v>35</v>
      </c>
      <c r="H136" s="3" t="str">
        <f>HYPERLINK("https://www.avito.ru/sankt-peterburg/uslugi/priem_i_vyvoz_kabelya_i_provoda_sdat_kabel_7869891307","Прием и вывоз кабеля и провода Сдать кабель")</f>
      </c>
      <c r="I136" t="s">
        <v>99</v>
      </c>
      <c r="J136" t="s">
        <v>80</v>
      </c>
      <c r="K136" t="s">
        <v>72</v>
      </c>
      <c r="L136">
        <v>35</v>
      </c>
      <c r="M136" t="s">
        <v>39</v>
      </c>
      <c r="N136">
        <v>3</v>
      </c>
      <c r="O136" s="4">
        <v>0.3333</v>
      </c>
      <c r="P136">
        <v>1</v>
      </c>
      <c r="Q136" s="5">
        <v>72</v>
      </c>
      <c r="R136" s="4">
        <v>0</v>
      </c>
      <c r="S136">
        <v>0</v>
      </c>
      <c r="T136">
        <v>0</v>
      </c>
      <c r="U136">
        <v>0</v>
      </c>
      <c r="V136">
        <v>0</v>
      </c>
      <c r="W136">
        <v>0</v>
      </c>
      <c r="X136" s="5" t="s">
        <v>83</v>
      </c>
      <c r="Y136">
        <v>0</v>
      </c>
      <c r="Z136" s="5">
        <v>72</v>
      </c>
      <c r="AA136" s="5">
        <v>0</v>
      </c>
      <c r="AB136" s="5">
        <v>72</v>
      </c>
      <c r="AC136" s="5">
        <v>0</v>
      </c>
      <c r="AD136" s="5">
        <v>0</v>
      </c>
    </row>
    <row r="137">
      <c r="A137" s="2" t="str">
        <f>HYPERLINK("https://www.avito.ru/sankt-peterburg/uslugi/priem_metalloloma_vyvoz_metalloloma_demontazh_7901511529","7901511529")</f>
      </c>
      <c r="B137" t="s">
        <v>55</v>
      </c>
      <c r="C137" t="s">
        <v>49</v>
      </c>
      <c r="D137" t="s">
        <v>193</v>
      </c>
      <c r="E137" t="s">
        <v>33</v>
      </c>
      <c r="F137" t="s">
        <v>34</v>
      </c>
      <c r="G137" t="s">
        <v>35</v>
      </c>
      <c r="H137" s="3" t="str">
        <f>HYPERLINK("https://www.avito.ru/sankt-peterburg/uslugi/priem_metalloloma_vyvoz_metalloloma_demontazh_7901511529","Прием металлолома / Вывоз металлолома / Демонтаж")</f>
      </c>
      <c r="I137" t="s">
        <v>74</v>
      </c>
      <c r="J137" t="s">
        <v>176</v>
      </c>
      <c r="K137" t="s">
        <v>177</v>
      </c>
      <c r="L137">
        <v>17</v>
      </c>
      <c r="M137" t="s">
        <v>83</v>
      </c>
      <c r="N137">
        <v>9</v>
      </c>
      <c r="O137" s="4">
        <v>0.1111</v>
      </c>
      <c r="P137">
        <v>1</v>
      </c>
      <c r="Q137" s="5">
        <v>100.8</v>
      </c>
      <c r="R137" s="4">
        <v>0</v>
      </c>
      <c r="S137">
        <v>0</v>
      </c>
      <c r="T137">
        <v>0</v>
      </c>
      <c r="U137">
        <v>0</v>
      </c>
      <c r="V137">
        <v>0</v>
      </c>
      <c r="W137">
        <v>0</v>
      </c>
      <c r="X137" s="5" t="s">
        <v>83</v>
      </c>
      <c r="Y137">
        <v>0</v>
      </c>
      <c r="Z137" s="5">
        <v>100.8</v>
      </c>
      <c r="AA137" s="5">
        <v>0</v>
      </c>
      <c r="AB137" s="5">
        <v>100.8</v>
      </c>
      <c r="AC137" s="5">
        <v>0</v>
      </c>
      <c r="AD137" s="5">
        <v>0</v>
      </c>
    </row>
    <row r="138">
      <c r="A138" s="2" t="str">
        <f>HYPERLINK("https://www.avito.ru/svetogorsk/uslugi/skupka_i_vyvoz_metalloloma_v_spb_i_lo_s_demontazhem_7804972636","7804972636")</f>
      </c>
      <c r="B138" t="s">
        <v>116</v>
      </c>
      <c r="C138" t="s">
        <v>194</v>
      </c>
      <c r="D138" t="s">
        <v>194</v>
      </c>
      <c r="E138" t="s">
        <v>33</v>
      </c>
      <c r="F138" t="s">
        <v>34</v>
      </c>
      <c r="G138" t="s">
        <v>35</v>
      </c>
      <c r="H138" s="3" t="str">
        <f>HYPERLINK("https://www.avito.ru/svetogorsk/uslugi/skupka_i_vyvoz_metalloloma_v_spb_i_lo_s_demontazhem_7804972636","Скупка и вывоз металлолома в СПб и ло с демонтажем")</f>
      </c>
      <c r="I138" t="s">
        <v>146</v>
      </c>
      <c r="J138" t="s">
        <v>53</v>
      </c>
      <c r="K138" t="s">
        <v>118</v>
      </c>
      <c r="L138">
        <v>71</v>
      </c>
      <c r="M138" t="s">
        <v>39</v>
      </c>
      <c r="N138">
        <v>3</v>
      </c>
      <c r="O138" s="4">
        <v>0</v>
      </c>
      <c r="P138">
        <v>0</v>
      </c>
      <c r="Q138" s="5" t="s">
        <v>83</v>
      </c>
      <c r="R138" s="4" t="s">
        <v>83</v>
      </c>
      <c r="S138">
        <v>0</v>
      </c>
      <c r="T138">
        <v>0</v>
      </c>
      <c r="U138">
        <v>0</v>
      </c>
      <c r="V138">
        <v>0</v>
      </c>
      <c r="W138">
        <v>0</v>
      </c>
      <c r="X138" s="5" t="s">
        <v>83</v>
      </c>
      <c r="Y138">
        <v>0</v>
      </c>
      <c r="Z138" s="5">
        <v>21.6</v>
      </c>
      <c r="AA138" s="5">
        <v>0</v>
      </c>
      <c r="AB138" s="5">
        <v>21.6</v>
      </c>
      <c r="AC138" s="5">
        <v>0</v>
      </c>
      <c r="AD138" s="5">
        <v>0</v>
      </c>
    </row>
    <row r="139">
      <c r="A139" s="2" t="str">
        <f>HYPERLINK("https://www.avito.ru/sankt-peterburg_zelenogorsk/uslugi/skupka_i_vyvoz_metalloloma_v_spb_i_lo_s_demontazhem_7805102664","7805102664")</f>
      </c>
      <c r="B139" t="s">
        <v>49</v>
      </c>
      <c r="C139" t="s">
        <v>119</v>
      </c>
      <c r="D139" t="s">
        <v>120</v>
      </c>
      <c r="E139" t="s">
        <v>33</v>
      </c>
      <c r="F139" t="s">
        <v>34</v>
      </c>
      <c r="G139" t="s">
        <v>35</v>
      </c>
      <c r="H139" s="3" t="str">
        <f>HYPERLINK("https://www.avito.ru/sankt-peterburg_zelenogorsk/uslugi/skupka_i_vyvoz_metalloloma_v_spb_i_lo_s_demontazhem_7805102664","Скупка и вывоз металлолома в СПб и ло с демонтажем")</f>
      </c>
      <c r="I139" t="s">
        <v>195</v>
      </c>
      <c r="J139" t="s">
        <v>53</v>
      </c>
      <c r="K139" t="s">
        <v>54</v>
      </c>
      <c r="L139">
        <v>71</v>
      </c>
      <c r="M139" t="s">
        <v>39</v>
      </c>
      <c r="N139">
        <v>5</v>
      </c>
      <c r="O139" s="4">
        <v>0</v>
      </c>
      <c r="P139">
        <v>0</v>
      </c>
      <c r="Q139" s="5" t="s">
        <v>83</v>
      </c>
      <c r="R139" s="4" t="s">
        <v>83</v>
      </c>
      <c r="S139">
        <v>0</v>
      </c>
      <c r="T139">
        <v>0</v>
      </c>
      <c r="U139">
        <v>0</v>
      </c>
      <c r="V139">
        <v>0</v>
      </c>
      <c r="W139">
        <v>0</v>
      </c>
      <c r="X139" s="5" t="s">
        <v>83</v>
      </c>
      <c r="Y139">
        <v>0</v>
      </c>
      <c r="Z139" s="5">
        <v>100.8</v>
      </c>
      <c r="AA139" s="5">
        <v>0</v>
      </c>
      <c r="AB139" s="5">
        <v>100.8</v>
      </c>
      <c r="AC139" s="5">
        <v>0</v>
      </c>
      <c r="AD139" s="5">
        <v>0</v>
      </c>
    </row>
    <row r="140">
      <c r="A140" s="2" t="str">
        <f>HYPERLINK("https://www.avito.ru/tajtsy/uslugi/skupka_i_vyvoz_metalloloma_v_spb_i_lo_s_demontazhem_7805103130","7805103130")</f>
      </c>
      <c r="B140" t="s">
        <v>116</v>
      </c>
      <c r="C140" t="s">
        <v>196</v>
      </c>
      <c r="D140" t="s">
        <v>197</v>
      </c>
      <c r="E140" t="s">
        <v>33</v>
      </c>
      <c r="F140" t="s">
        <v>34</v>
      </c>
      <c r="G140" t="s">
        <v>35</v>
      </c>
      <c r="H140" s="3" t="str">
        <f>HYPERLINK("https://www.avito.ru/tajtsy/uslugi/skupka_i_vyvoz_metalloloma_v_spb_i_lo_s_demontazhem_7805103130","Скупка и вывоз металлолома в СПб и ло с демонтажем")</f>
      </c>
      <c r="I140" t="s">
        <v>111</v>
      </c>
      <c r="J140" t="s">
        <v>53</v>
      </c>
      <c r="K140" t="s">
        <v>118</v>
      </c>
      <c r="L140">
        <v>71</v>
      </c>
      <c r="M140" t="s">
        <v>39</v>
      </c>
      <c r="N140">
        <v>7</v>
      </c>
      <c r="O140" s="4">
        <v>0</v>
      </c>
      <c r="P140">
        <v>0</v>
      </c>
      <c r="Q140" s="5" t="s">
        <v>83</v>
      </c>
      <c r="R140" s="4" t="s">
        <v>83</v>
      </c>
      <c r="S140">
        <v>0</v>
      </c>
      <c r="T140">
        <v>0</v>
      </c>
      <c r="U140">
        <v>0</v>
      </c>
      <c r="V140">
        <v>0</v>
      </c>
      <c r="W140">
        <v>0</v>
      </c>
      <c r="X140" s="5" t="s">
        <v>83</v>
      </c>
      <c r="Y140">
        <v>0</v>
      </c>
      <c r="Z140" s="5">
        <v>21.6</v>
      </c>
      <c r="AA140" s="5">
        <v>0</v>
      </c>
      <c r="AB140" s="5">
        <v>21.6</v>
      </c>
      <c r="AC140" s="5">
        <v>0</v>
      </c>
      <c r="AD140" s="5">
        <v>0</v>
      </c>
    </row>
    <row r="141">
      <c r="A141" s="2" t="str">
        <f>HYPERLINK("https://www.avito.ru/kommynary/uslugi/sdat_metallolom_spb_i_lo_7805206135","7805206135")</f>
      </c>
      <c r="B141" t="s">
        <v>116</v>
      </c>
      <c r="C141" t="s">
        <v>198</v>
      </c>
      <c r="D141" t="s">
        <v>199</v>
      </c>
      <c r="E141" t="s">
        <v>33</v>
      </c>
      <c r="F141" t="s">
        <v>34</v>
      </c>
      <c r="G141" t="s">
        <v>35</v>
      </c>
      <c r="H141" s="3" t="str">
        <f>HYPERLINK("https://www.avito.ru/kommynary/uslugi/sdat_metallolom_spb_i_lo_7805206135","Сдать металлолом СПБ и ло")</f>
      </c>
      <c r="I141" t="s">
        <v>100</v>
      </c>
      <c r="J141" t="s">
        <v>53</v>
      </c>
      <c r="K141" t="s">
        <v>118</v>
      </c>
      <c r="L141">
        <v>71</v>
      </c>
      <c r="M141" t="s">
        <v>39</v>
      </c>
      <c r="N141">
        <v>2</v>
      </c>
      <c r="O141" s="4">
        <v>0</v>
      </c>
      <c r="P141">
        <v>0</v>
      </c>
      <c r="Q141" s="5" t="s">
        <v>83</v>
      </c>
      <c r="R141" s="4" t="s">
        <v>83</v>
      </c>
      <c r="S141">
        <v>0</v>
      </c>
      <c r="T141">
        <v>0</v>
      </c>
      <c r="U141">
        <v>0</v>
      </c>
      <c r="V141">
        <v>0</v>
      </c>
      <c r="W141">
        <v>0</v>
      </c>
      <c r="X141" s="5" t="s">
        <v>83</v>
      </c>
      <c r="Y141">
        <v>0</v>
      </c>
      <c r="Z141" s="5">
        <v>21.6</v>
      </c>
      <c r="AA141" s="5">
        <v>0</v>
      </c>
      <c r="AB141" s="5">
        <v>21.6</v>
      </c>
      <c r="AC141" s="5">
        <v>0</v>
      </c>
      <c r="AD141" s="5">
        <v>0</v>
      </c>
    </row>
    <row r="142">
      <c r="A142" s="2" t="str">
        <f>HYPERLINK("https://www.avito.ru/sankt-peterburg/uslugi/sdat_metallolom_spb_i_lo_7805276749","7805276749")</f>
      </c>
      <c r="B142" t="s">
        <v>55</v>
      </c>
      <c r="C142" t="s">
        <v>49</v>
      </c>
      <c r="D142" t="s">
        <v>200</v>
      </c>
      <c r="E142" t="s">
        <v>33</v>
      </c>
      <c r="F142" t="s">
        <v>34</v>
      </c>
      <c r="G142" t="s">
        <v>35</v>
      </c>
      <c r="H142" s="3" t="str">
        <f>HYPERLINK("https://www.avito.ru/sankt-peterburg/uslugi/sdat_metallolom_spb_i_lo_7805276749","Сдать металлолом СПБ и ло")</f>
      </c>
      <c r="I142" t="s">
        <v>121</v>
      </c>
      <c r="J142" t="s">
        <v>53</v>
      </c>
      <c r="K142" t="s">
        <v>54</v>
      </c>
      <c r="L142">
        <v>71</v>
      </c>
      <c r="M142" t="s">
        <v>39</v>
      </c>
      <c r="N142">
        <v>1</v>
      </c>
      <c r="O142" s="4">
        <v>0</v>
      </c>
      <c r="P142">
        <v>0</v>
      </c>
      <c r="Q142" s="5" t="s">
        <v>83</v>
      </c>
      <c r="R142" s="4" t="s">
        <v>83</v>
      </c>
      <c r="S142">
        <v>0</v>
      </c>
      <c r="T142">
        <v>0</v>
      </c>
      <c r="U142">
        <v>0</v>
      </c>
      <c r="V142">
        <v>0</v>
      </c>
      <c r="W142">
        <v>0</v>
      </c>
      <c r="X142" s="5" t="s">
        <v>83</v>
      </c>
      <c r="Y142">
        <v>0</v>
      </c>
      <c r="Z142" s="5">
        <v>100.8</v>
      </c>
      <c r="AA142" s="5">
        <v>0</v>
      </c>
      <c r="AB142" s="5">
        <v>100.8</v>
      </c>
      <c r="AC142" s="5">
        <v>0</v>
      </c>
      <c r="AD142" s="5">
        <v>0</v>
      </c>
    </row>
    <row r="143">
      <c r="A143" s="2" t="str">
        <f>HYPERLINK("https://www.avito.ru/sankt-peterburg_peterhof/uslugi/priem_i_vyvoz_metalloloma_spb_i_lo_7805284931","7805284931")</f>
      </c>
      <c r="B143" t="s">
        <v>49</v>
      </c>
      <c r="C143" t="s">
        <v>169</v>
      </c>
      <c r="D143" t="s">
        <v>170</v>
      </c>
      <c r="E143" t="s">
        <v>33</v>
      </c>
      <c r="F143" t="s">
        <v>34</v>
      </c>
      <c r="G143" t="s">
        <v>35</v>
      </c>
      <c r="H143" s="3" t="str">
        <f>HYPERLINK("https://www.avito.ru/sankt-peterburg_peterhof/uslugi/priem_i_vyvoz_metalloloma_spb_i_lo_7805284931","Прием и вывоз металлолома СПБ и ло")</f>
      </c>
      <c r="I143" t="s">
        <v>136</v>
      </c>
      <c r="J143" t="s">
        <v>53</v>
      </c>
      <c r="K143" t="s">
        <v>54</v>
      </c>
      <c r="L143">
        <v>71</v>
      </c>
      <c r="M143" t="s">
        <v>39</v>
      </c>
      <c r="N143">
        <v>11</v>
      </c>
      <c r="O143" s="4">
        <v>0</v>
      </c>
      <c r="P143">
        <v>0</v>
      </c>
      <c r="Q143" s="5" t="s">
        <v>83</v>
      </c>
      <c r="R143" s="4" t="s">
        <v>83</v>
      </c>
      <c r="S143">
        <v>0</v>
      </c>
      <c r="T143">
        <v>0</v>
      </c>
      <c r="U143">
        <v>0</v>
      </c>
      <c r="V143">
        <v>0</v>
      </c>
      <c r="W143">
        <v>0</v>
      </c>
      <c r="X143" s="5" t="s">
        <v>83</v>
      </c>
      <c r="Y143">
        <v>0</v>
      </c>
      <c r="Z143" s="5">
        <v>100.8</v>
      </c>
      <c r="AA143" s="5">
        <v>0</v>
      </c>
      <c r="AB143" s="5">
        <v>100.8</v>
      </c>
      <c r="AC143" s="5">
        <v>0</v>
      </c>
      <c r="AD143" s="5">
        <v>0</v>
      </c>
    </row>
    <row r="144">
      <c r="A144" s="2" t="str">
        <f>HYPERLINK("https://www.avito.ru/sankt-peterburg_peterhof/uslugi/skupka_i_vyvoz_metalloloma_v_spb_i_lo_s_demontazhem_7805340097","7805340097")</f>
      </c>
      <c r="B144" t="s">
        <v>49</v>
      </c>
      <c r="C144" t="s">
        <v>169</v>
      </c>
      <c r="D144" t="s">
        <v>170</v>
      </c>
      <c r="E144" t="s">
        <v>33</v>
      </c>
      <c r="F144" t="s">
        <v>34</v>
      </c>
      <c r="G144" t="s">
        <v>35</v>
      </c>
      <c r="H144" s="3" t="str">
        <f>HYPERLINK("https://www.avito.ru/sankt-peterburg_peterhof/uslugi/skupka_i_vyvoz_metalloloma_v_spb_i_lo_s_demontazhem_7805340097","Скупка и вывоз металлолома в СПб и ло с демонтажем")</f>
      </c>
      <c r="I144" t="s">
        <v>146</v>
      </c>
      <c r="J144" t="s">
        <v>53</v>
      </c>
      <c r="K144" t="s">
        <v>54</v>
      </c>
      <c r="L144">
        <v>71</v>
      </c>
      <c r="M144" t="s">
        <v>39</v>
      </c>
      <c r="N144">
        <v>7</v>
      </c>
      <c r="O144" s="4">
        <v>0</v>
      </c>
      <c r="P144">
        <v>0</v>
      </c>
      <c r="Q144" s="5" t="s">
        <v>83</v>
      </c>
      <c r="R144" s="4" t="s">
        <v>83</v>
      </c>
      <c r="S144">
        <v>0</v>
      </c>
      <c r="T144">
        <v>0</v>
      </c>
      <c r="U144">
        <v>0</v>
      </c>
      <c r="V144">
        <v>0</v>
      </c>
      <c r="W144">
        <v>0</v>
      </c>
      <c r="X144" s="5" t="s">
        <v>83</v>
      </c>
      <c r="Y144">
        <v>0</v>
      </c>
      <c r="Z144" s="5">
        <v>100.8</v>
      </c>
      <c r="AA144" s="5">
        <v>0</v>
      </c>
      <c r="AB144" s="5">
        <v>100.8</v>
      </c>
      <c r="AC144" s="5">
        <v>0</v>
      </c>
      <c r="AD144" s="5">
        <v>0</v>
      </c>
    </row>
    <row r="145">
      <c r="A145" s="2" t="str">
        <f>HYPERLINK("https://www.avito.ru/bugry/uslugi/sdat_metallolom_spb_i_lo_7805459729","7805459729")</f>
      </c>
      <c r="B145" t="s">
        <v>116</v>
      </c>
      <c r="C145" t="s">
        <v>201</v>
      </c>
      <c r="D145" t="s">
        <v>202</v>
      </c>
      <c r="E145" t="s">
        <v>33</v>
      </c>
      <c r="F145" t="s">
        <v>34</v>
      </c>
      <c r="G145" t="s">
        <v>35</v>
      </c>
      <c r="H145" s="3" t="str">
        <f>HYPERLINK("https://www.avito.ru/bugry/uslugi/sdat_metallolom_spb_i_lo_7805459729","Сдать металлолом СПБ и ло")</f>
      </c>
      <c r="I145" t="s">
        <v>110</v>
      </c>
      <c r="J145" t="s">
        <v>53</v>
      </c>
      <c r="K145" t="s">
        <v>118</v>
      </c>
      <c r="L145">
        <v>71</v>
      </c>
      <c r="M145" t="s">
        <v>39</v>
      </c>
      <c r="N145">
        <v>2</v>
      </c>
      <c r="O145" s="4">
        <v>0</v>
      </c>
      <c r="P145">
        <v>0</v>
      </c>
      <c r="Q145" s="5" t="s">
        <v>83</v>
      </c>
      <c r="R145" s="4" t="s">
        <v>83</v>
      </c>
      <c r="S145">
        <v>0</v>
      </c>
      <c r="T145">
        <v>0</v>
      </c>
      <c r="U145">
        <v>0</v>
      </c>
      <c r="V145">
        <v>0</v>
      </c>
      <c r="W145">
        <v>0</v>
      </c>
      <c r="X145" s="5" t="s">
        <v>83</v>
      </c>
      <c r="Y145">
        <v>0</v>
      </c>
      <c r="Z145" s="5">
        <v>21.6</v>
      </c>
      <c r="AA145" s="5">
        <v>0</v>
      </c>
      <c r="AB145" s="5">
        <v>21.6</v>
      </c>
      <c r="AC145" s="5">
        <v>0</v>
      </c>
      <c r="AD145" s="5">
        <v>0</v>
      </c>
    </row>
    <row r="146">
      <c r="A146" s="2" t="str">
        <f>HYPERLINK("https://www.avito.ru/murino/uslugi/priem_i_vyvoz_metalloloma_samovyvoz_loma_7805472834","7805472834")</f>
      </c>
      <c r="B146" t="s">
        <v>116</v>
      </c>
      <c r="C146" t="s">
        <v>203</v>
      </c>
      <c r="D146" t="s">
        <v>204</v>
      </c>
      <c r="E146" t="s">
        <v>33</v>
      </c>
      <c r="F146" t="s">
        <v>34</v>
      </c>
      <c r="G146" t="s">
        <v>35</v>
      </c>
      <c r="H146" s="3" t="str">
        <f>HYPERLINK("https://www.avito.ru/murino/uslugi/priem_i_vyvoz_metalloloma_samovyvoz_loma_7805472834","Прием и вывоз металлолома / Самовывоз лома")</f>
      </c>
      <c r="I146" t="s">
        <v>146</v>
      </c>
      <c r="J146" t="s">
        <v>53</v>
      </c>
      <c r="K146" t="s">
        <v>118</v>
      </c>
      <c r="L146">
        <v>71</v>
      </c>
      <c r="M146" t="s">
        <v>39</v>
      </c>
      <c r="N146">
        <v>1</v>
      </c>
      <c r="O146" s="4">
        <v>0</v>
      </c>
      <c r="P146">
        <v>0</v>
      </c>
      <c r="Q146" s="5" t="s">
        <v>83</v>
      </c>
      <c r="R146" s="4" t="s">
        <v>83</v>
      </c>
      <c r="S146">
        <v>0</v>
      </c>
      <c r="T146">
        <v>0</v>
      </c>
      <c r="U146">
        <v>0</v>
      </c>
      <c r="V146">
        <v>0</v>
      </c>
      <c r="W146">
        <v>0</v>
      </c>
      <c r="X146" s="5" t="s">
        <v>83</v>
      </c>
      <c r="Y146">
        <v>0</v>
      </c>
      <c r="Z146" s="5">
        <v>21.6</v>
      </c>
      <c r="AA146" s="5">
        <v>0</v>
      </c>
      <c r="AB146" s="5">
        <v>21.6</v>
      </c>
      <c r="AC146" s="5">
        <v>0</v>
      </c>
      <c r="AD146" s="5">
        <v>0</v>
      </c>
    </row>
    <row r="147">
      <c r="A147" s="2" t="str">
        <f>HYPERLINK("https://www.avito.ru/leningradskaya_oblast_kirovsk/uslugi/priem_i_vyvoz_metalloloma_7805526287","7805526287")</f>
      </c>
      <c r="B147" t="s">
        <v>116</v>
      </c>
      <c r="C147" t="s">
        <v>205</v>
      </c>
      <c r="D147" t="s">
        <v>206</v>
      </c>
      <c r="E147" t="s">
        <v>33</v>
      </c>
      <c r="F147" t="s">
        <v>34</v>
      </c>
      <c r="G147" t="s">
        <v>35</v>
      </c>
      <c r="H147" s="3" t="str">
        <f>HYPERLINK("https://www.avito.ru/leningradskaya_oblast_kirovsk/uslugi/priem_i_vyvoz_metalloloma_7805526287","Прием и вывоз металлолома")</f>
      </c>
      <c r="I147" t="s">
        <v>207</v>
      </c>
      <c r="J147" t="s">
        <v>53</v>
      </c>
      <c r="K147" t="s">
        <v>118</v>
      </c>
      <c r="L147">
        <v>71</v>
      </c>
      <c r="M147" t="s">
        <v>39</v>
      </c>
      <c r="N147">
        <v>0</v>
      </c>
      <c r="O147" s="4" t="s">
        <v>83</v>
      </c>
      <c r="P147">
        <v>0</v>
      </c>
      <c r="Q147" s="5" t="s">
        <v>83</v>
      </c>
      <c r="R147" s="4" t="s">
        <v>83</v>
      </c>
      <c r="S147">
        <v>0</v>
      </c>
      <c r="T147">
        <v>0</v>
      </c>
      <c r="U147">
        <v>0</v>
      </c>
      <c r="V147">
        <v>0</v>
      </c>
      <c r="W147">
        <v>0</v>
      </c>
      <c r="X147" s="5" t="s">
        <v>83</v>
      </c>
      <c r="Y147">
        <v>0</v>
      </c>
      <c r="Z147" s="5">
        <v>21.6</v>
      </c>
      <c r="AA147" s="5">
        <v>0</v>
      </c>
      <c r="AB147" s="5">
        <v>21.6</v>
      </c>
      <c r="AC147" s="5">
        <v>0</v>
      </c>
      <c r="AD147" s="5">
        <v>0</v>
      </c>
    </row>
    <row r="148">
      <c r="A148" s="2" t="str">
        <f>HYPERLINK("https://www.avito.ru/gatchina/uslugi/priem_i_vyvoz_metalloloma_7805570137","7805570137")</f>
      </c>
      <c r="B148" t="s">
        <v>116</v>
      </c>
      <c r="C148" t="s">
        <v>208</v>
      </c>
      <c r="D148" t="s">
        <v>209</v>
      </c>
      <c r="E148" t="s">
        <v>33</v>
      </c>
      <c r="F148" t="s">
        <v>34</v>
      </c>
      <c r="G148" t="s">
        <v>35</v>
      </c>
      <c r="H148" s="3" t="str">
        <f>HYPERLINK("https://www.avito.ru/gatchina/uslugi/priem_i_vyvoz_metalloloma_7805570137","Прием и вывоз металлолома")</f>
      </c>
      <c r="I148" t="s">
        <v>100</v>
      </c>
      <c r="J148" t="s">
        <v>53</v>
      </c>
      <c r="K148" t="s">
        <v>210</v>
      </c>
      <c r="L148">
        <v>71</v>
      </c>
      <c r="M148" t="s">
        <v>39</v>
      </c>
      <c r="N148">
        <v>1</v>
      </c>
      <c r="O148" s="4">
        <v>0</v>
      </c>
      <c r="P148">
        <v>0</v>
      </c>
      <c r="Q148" s="5" t="s">
        <v>83</v>
      </c>
      <c r="R148" s="4" t="s">
        <v>83</v>
      </c>
      <c r="S148">
        <v>0</v>
      </c>
      <c r="T148">
        <v>0</v>
      </c>
      <c r="U148">
        <v>0</v>
      </c>
      <c r="V148">
        <v>0</v>
      </c>
      <c r="W148">
        <v>0</v>
      </c>
      <c r="X148" s="5" t="s">
        <v>83</v>
      </c>
      <c r="Y148">
        <v>0</v>
      </c>
      <c r="Z148" s="5">
        <v>21.6</v>
      </c>
      <c r="AA148" s="5">
        <v>0</v>
      </c>
      <c r="AB148" s="5">
        <v>21.6</v>
      </c>
      <c r="AC148" s="5">
        <v>0</v>
      </c>
      <c r="AD148" s="5">
        <v>0</v>
      </c>
    </row>
    <row r="149">
      <c r="A149" s="2" t="str">
        <f>HYPERLINK("https://www.avito.ru/novoe_devyatkino/uslugi/skupka_i_vyvoz_metalloloma_v_spb_i_lo_s_demontazhem_7805577658","7805577658")</f>
      </c>
      <c r="B149" t="s">
        <v>116</v>
      </c>
      <c r="C149" t="s">
        <v>211</v>
      </c>
      <c r="D149" t="s">
        <v>212</v>
      </c>
      <c r="E149" t="s">
        <v>33</v>
      </c>
      <c r="F149" t="s">
        <v>34</v>
      </c>
      <c r="G149" t="s">
        <v>35</v>
      </c>
      <c r="H149" s="3" t="str">
        <f>HYPERLINK("https://www.avito.ru/novoe_devyatkino/uslugi/skupka_i_vyvoz_metalloloma_v_spb_i_lo_s_demontazhem_7805577658","Скупка и вывоз металлолома в СПб и ло с демонтажем")</f>
      </c>
      <c r="I149" t="s">
        <v>110</v>
      </c>
      <c r="J149" t="s">
        <v>53</v>
      </c>
      <c r="K149" t="s">
        <v>118</v>
      </c>
      <c r="L149">
        <v>71</v>
      </c>
      <c r="M149" t="s">
        <v>39</v>
      </c>
      <c r="N149">
        <v>3</v>
      </c>
      <c r="O149" s="4">
        <v>0</v>
      </c>
      <c r="P149">
        <v>0</v>
      </c>
      <c r="Q149" s="5" t="s">
        <v>83</v>
      </c>
      <c r="R149" s="4" t="s">
        <v>83</v>
      </c>
      <c r="S149">
        <v>0</v>
      </c>
      <c r="T149">
        <v>0</v>
      </c>
      <c r="U149">
        <v>0</v>
      </c>
      <c r="V149">
        <v>0</v>
      </c>
      <c r="W149">
        <v>0</v>
      </c>
      <c r="X149" s="5" t="s">
        <v>83</v>
      </c>
      <c r="Y149">
        <v>0</v>
      </c>
      <c r="Z149" s="5">
        <v>21.6</v>
      </c>
      <c r="AA149" s="5">
        <v>0</v>
      </c>
      <c r="AB149" s="5">
        <v>21.6</v>
      </c>
      <c r="AC149" s="5">
        <v>0</v>
      </c>
      <c r="AD149" s="5">
        <v>0</v>
      </c>
    </row>
    <row r="150">
      <c r="A150" s="2" t="str">
        <f>HYPERLINK("https://www.avito.ru/koltushi/uslugi/priem_metalloloma_vyvoz_metalloloma_demontazh_7805587603","7805587603")</f>
      </c>
      <c r="B150" t="s">
        <v>116</v>
      </c>
      <c r="C150" t="s">
        <v>213</v>
      </c>
      <c r="D150" t="s">
        <v>214</v>
      </c>
      <c r="E150" t="s">
        <v>33</v>
      </c>
      <c r="F150" t="s">
        <v>34</v>
      </c>
      <c r="G150" t="s">
        <v>35</v>
      </c>
      <c r="H150" s="3" t="str">
        <f>HYPERLINK("https://www.avito.ru/koltushi/uslugi/priem_metalloloma_vyvoz_metalloloma_demontazh_7805587603","Прием металлолома / вывоз металлолома / демонтаж")</f>
      </c>
      <c r="I150" t="s">
        <v>146</v>
      </c>
      <c r="J150" t="s">
        <v>53</v>
      </c>
      <c r="K150" t="s">
        <v>118</v>
      </c>
      <c r="L150">
        <v>71</v>
      </c>
      <c r="M150" t="s">
        <v>39</v>
      </c>
      <c r="N150">
        <v>1</v>
      </c>
      <c r="O150" s="4">
        <v>0</v>
      </c>
      <c r="P150">
        <v>0</v>
      </c>
      <c r="Q150" s="5" t="s">
        <v>83</v>
      </c>
      <c r="R150" s="4" t="s">
        <v>83</v>
      </c>
      <c r="S150">
        <v>0</v>
      </c>
      <c r="T150">
        <v>0</v>
      </c>
      <c r="U150">
        <v>0</v>
      </c>
      <c r="V150">
        <v>0</v>
      </c>
      <c r="W150">
        <v>0</v>
      </c>
      <c r="X150" s="5" t="s">
        <v>83</v>
      </c>
      <c r="Y150">
        <v>0</v>
      </c>
      <c r="Z150" s="5">
        <v>21.6</v>
      </c>
      <c r="AA150" s="5">
        <v>0</v>
      </c>
      <c r="AB150" s="5">
        <v>21.6</v>
      </c>
      <c r="AC150" s="5">
        <v>0</v>
      </c>
      <c r="AD150" s="5">
        <v>0</v>
      </c>
    </row>
    <row r="151">
      <c r="A151" s="2" t="str">
        <f>HYPERLINK("https://www.avito.ru/leningradskaya_oblast_nikolskoe/uslugi/priem_i_vyvoz_metalloloma_7805884690","7805884690")</f>
      </c>
      <c r="B151" t="s">
        <v>116</v>
      </c>
      <c r="C151" t="s">
        <v>215</v>
      </c>
      <c r="D151" t="s">
        <v>215</v>
      </c>
      <c r="E151" t="s">
        <v>33</v>
      </c>
      <c r="F151" t="s">
        <v>34</v>
      </c>
      <c r="G151" t="s">
        <v>35</v>
      </c>
      <c r="H151" s="3" t="str">
        <f>HYPERLINK("https://www.avito.ru/leningradskaya_oblast_nikolskoe/uslugi/priem_i_vyvoz_metalloloma_7805884690","Прием и вывоз металлолома")</f>
      </c>
      <c r="I151" t="s">
        <v>166</v>
      </c>
      <c r="J151" t="s">
        <v>53</v>
      </c>
      <c r="K151" t="s">
        <v>118</v>
      </c>
      <c r="L151">
        <v>71</v>
      </c>
      <c r="M151" t="s">
        <v>39</v>
      </c>
      <c r="N151">
        <v>0</v>
      </c>
      <c r="O151" s="4" t="s">
        <v>83</v>
      </c>
      <c r="P151">
        <v>0</v>
      </c>
      <c r="Q151" s="5" t="s">
        <v>83</v>
      </c>
      <c r="R151" s="4" t="s">
        <v>83</v>
      </c>
      <c r="S151">
        <v>0</v>
      </c>
      <c r="T151">
        <v>0</v>
      </c>
      <c r="U151">
        <v>0</v>
      </c>
      <c r="V151">
        <v>0</v>
      </c>
      <c r="W151">
        <v>0</v>
      </c>
      <c r="X151" s="5" t="s">
        <v>83</v>
      </c>
      <c r="Y151">
        <v>0</v>
      </c>
      <c r="Z151" s="5">
        <v>21.6</v>
      </c>
      <c r="AA151" s="5">
        <v>0</v>
      </c>
      <c r="AB151" s="5">
        <v>21.6</v>
      </c>
      <c r="AC151" s="5">
        <v>0</v>
      </c>
      <c r="AD151" s="5">
        <v>0</v>
      </c>
    </row>
    <row r="152">
      <c r="A152" s="2" t="str">
        <f>HYPERLINK("https://www.avito.ru/leningradskaya_oblast_primorsk/uslugi/priem_metalloloma_vyvoz_metalloloma_demontazh_7805887366","7805887366")</f>
      </c>
      <c r="B152" t="s">
        <v>116</v>
      </c>
      <c r="C152" t="s">
        <v>216</v>
      </c>
      <c r="D152" t="s">
        <v>217</v>
      </c>
      <c r="E152" t="s">
        <v>33</v>
      </c>
      <c r="F152" t="s">
        <v>34</v>
      </c>
      <c r="G152" t="s">
        <v>35</v>
      </c>
      <c r="H152" s="3" t="str">
        <f>HYPERLINK("https://www.avito.ru/leningradskaya_oblast_primorsk/uslugi/priem_metalloloma_vyvoz_metalloloma_demontazh_7805887366","Прием металлолома / вывоз металлолома / демонтаж")</f>
      </c>
      <c r="I152" t="s">
        <v>207</v>
      </c>
      <c r="J152" t="s">
        <v>53</v>
      </c>
      <c r="K152" t="s">
        <v>118</v>
      </c>
      <c r="L152">
        <v>71</v>
      </c>
      <c r="M152" t="s">
        <v>39</v>
      </c>
      <c r="N152">
        <v>6</v>
      </c>
      <c r="O152" s="4">
        <v>0</v>
      </c>
      <c r="P152">
        <v>0</v>
      </c>
      <c r="Q152" s="5" t="s">
        <v>83</v>
      </c>
      <c r="R152" s="4" t="s">
        <v>83</v>
      </c>
      <c r="S152">
        <v>0</v>
      </c>
      <c r="T152">
        <v>0</v>
      </c>
      <c r="U152">
        <v>0</v>
      </c>
      <c r="V152">
        <v>0</v>
      </c>
      <c r="W152">
        <v>0</v>
      </c>
      <c r="X152" s="5" t="s">
        <v>83</v>
      </c>
      <c r="Y152">
        <v>0</v>
      </c>
      <c r="Z152" s="5">
        <v>21.6</v>
      </c>
      <c r="AA152" s="5">
        <v>0</v>
      </c>
      <c r="AB152" s="5">
        <v>21.6</v>
      </c>
      <c r="AC152" s="5">
        <v>0</v>
      </c>
      <c r="AD152" s="5">
        <v>0</v>
      </c>
    </row>
    <row r="153">
      <c r="A153" s="2" t="str">
        <f>HYPERLINK("https://www.avito.ru/sankt-peterburg/uslugi/priem_samoplava_olovasdat_olovosdat_rzm_7837002497","7837002497")</f>
      </c>
      <c r="B153" t="s">
        <v>55</v>
      </c>
      <c r="C153" t="s">
        <v>49</v>
      </c>
      <c r="D153" t="s">
        <v>192</v>
      </c>
      <c r="E153" t="s">
        <v>33</v>
      </c>
      <c r="F153" t="s">
        <v>34</v>
      </c>
      <c r="G153" t="s">
        <v>35</v>
      </c>
      <c r="H153" s="3" t="str">
        <f>HYPERLINK("https://www.avito.ru/sankt-peterburg/uslugi/priem_samoplava_olovasdat_olovosdat_rzm_7837002497","Прием самоплава Олова/сдать олово/сдать рзм")</f>
      </c>
      <c r="I153" t="s">
        <v>218</v>
      </c>
      <c r="J153" t="s">
        <v>60</v>
      </c>
      <c r="K153" t="s">
        <v>66</v>
      </c>
      <c r="L153">
        <v>45</v>
      </c>
      <c r="M153" t="s">
        <v>62</v>
      </c>
      <c r="N153">
        <v>1</v>
      </c>
      <c r="O153" s="4">
        <v>0</v>
      </c>
      <c r="P153">
        <v>0</v>
      </c>
      <c r="Q153" s="5" t="s">
        <v>83</v>
      </c>
      <c r="R153" s="4" t="s">
        <v>83</v>
      </c>
      <c r="S153">
        <v>0</v>
      </c>
      <c r="T153">
        <v>0</v>
      </c>
      <c r="U153">
        <v>0</v>
      </c>
      <c r="V153">
        <v>0</v>
      </c>
      <c r="W153">
        <v>0</v>
      </c>
      <c r="X153" s="5" t="s">
        <v>83</v>
      </c>
      <c r="Y153">
        <v>0</v>
      </c>
      <c r="Z153" s="5">
        <v>100.8</v>
      </c>
      <c r="AA153" s="5">
        <v>0</v>
      </c>
      <c r="AB153" s="5">
        <v>100.8</v>
      </c>
      <c r="AC153" s="5">
        <v>0</v>
      </c>
      <c r="AD153" s="5">
        <v>0</v>
      </c>
    </row>
    <row r="154">
      <c r="A154" s="2" t="str">
        <f>HYPERLINK("https://www.avito.ru/sankt-peterburg/uslugi/priem_olova_01pchsdat_olovosdat_rzm_7837140602","7837140602")</f>
      </c>
      <c r="B154" t="s">
        <v>55</v>
      </c>
      <c r="C154" t="s">
        <v>49</v>
      </c>
      <c r="D154" t="s">
        <v>125</v>
      </c>
      <c r="E154" t="s">
        <v>33</v>
      </c>
      <c r="F154" t="s">
        <v>34</v>
      </c>
      <c r="G154" t="s">
        <v>35</v>
      </c>
      <c r="H154" s="3" t="str">
        <f>HYPERLINK("https://www.avito.ru/sankt-peterburg/uslugi/priem_olova_01pchsdat_olovosdat_rzm_7837140602","Прием Олова 01пч/сдать олово/сдать рзм")</f>
      </c>
      <c r="I154" t="s">
        <v>139</v>
      </c>
      <c r="J154" t="s">
        <v>60</v>
      </c>
      <c r="K154" t="s">
        <v>66</v>
      </c>
      <c r="L154">
        <v>45</v>
      </c>
      <c r="M154" t="s">
        <v>62</v>
      </c>
      <c r="N154">
        <v>4</v>
      </c>
      <c r="O154" s="4">
        <v>0</v>
      </c>
      <c r="P154">
        <v>0</v>
      </c>
      <c r="Q154" s="5" t="s">
        <v>83</v>
      </c>
      <c r="R154" s="4" t="s">
        <v>83</v>
      </c>
      <c r="S154">
        <v>0</v>
      </c>
      <c r="T154">
        <v>0</v>
      </c>
      <c r="U154">
        <v>0</v>
      </c>
      <c r="V154">
        <v>0</v>
      </c>
      <c r="W154">
        <v>0</v>
      </c>
      <c r="X154" s="5" t="s">
        <v>83</v>
      </c>
      <c r="Y154">
        <v>0</v>
      </c>
      <c r="Z154" s="5">
        <v>100.8</v>
      </c>
      <c r="AA154" s="5">
        <v>0</v>
      </c>
      <c r="AB154" s="5">
        <v>100.8</v>
      </c>
      <c r="AC154" s="5">
        <v>0</v>
      </c>
      <c r="AD154" s="5">
        <v>0</v>
      </c>
    </row>
    <row r="155">
      <c r="A155" s="2" t="str">
        <f>HYPERLINK("https://www.avito.ru/sankt-peterburg/uslugi/sdat_babbitbabbit_b83sdat_lom_7837441579","7837441579")</f>
      </c>
      <c r="B155" t="s">
        <v>55</v>
      </c>
      <c r="C155" t="s">
        <v>49</v>
      </c>
      <c r="D155" t="s">
        <v>58</v>
      </c>
      <c r="E155" t="s">
        <v>33</v>
      </c>
      <c r="F155" t="s">
        <v>34</v>
      </c>
      <c r="G155" t="s">
        <v>35</v>
      </c>
      <c r="H155" s="3" t="str">
        <f>HYPERLINK("https://www.avito.ru/sankt-peterburg/uslugi/sdat_babbitbabbit_b83sdat_lom_7837441579","Сдать Баббит/Баббит Б83/сдать лом")</f>
      </c>
      <c r="I155" t="s">
        <v>219</v>
      </c>
      <c r="J155" t="s">
        <v>60</v>
      </c>
      <c r="K155" t="s">
        <v>66</v>
      </c>
      <c r="L155">
        <v>45</v>
      </c>
      <c r="M155" t="s">
        <v>62</v>
      </c>
      <c r="N155">
        <v>2</v>
      </c>
      <c r="O155" s="4">
        <v>0</v>
      </c>
      <c r="P155">
        <v>0</v>
      </c>
      <c r="Q155" s="5" t="s">
        <v>83</v>
      </c>
      <c r="R155" s="4" t="s">
        <v>83</v>
      </c>
      <c r="S155">
        <v>0</v>
      </c>
      <c r="T155">
        <v>0</v>
      </c>
      <c r="U155">
        <v>0</v>
      </c>
      <c r="V155">
        <v>0</v>
      </c>
      <c r="W155">
        <v>0</v>
      </c>
      <c r="X155" s="5" t="s">
        <v>83</v>
      </c>
      <c r="Y155">
        <v>0</v>
      </c>
      <c r="Z155" s="5">
        <v>100.8</v>
      </c>
      <c r="AA155" s="5">
        <v>0</v>
      </c>
      <c r="AB155" s="5">
        <v>100.8</v>
      </c>
      <c r="AC155" s="5">
        <v>0</v>
      </c>
      <c r="AD155" s="5">
        <v>0</v>
      </c>
    </row>
    <row r="156">
      <c r="A156" s="2" t="str">
        <f>HYPERLINK("https://www.avito.ru/sankt-peterburg/uslugi/sdat_pripoy_pos_18-90priem_loma_7837735817","7837735817")</f>
      </c>
      <c r="B156" t="s">
        <v>55</v>
      </c>
      <c r="C156" t="s">
        <v>49</v>
      </c>
      <c r="D156" t="s">
        <v>192</v>
      </c>
      <c r="E156" t="s">
        <v>33</v>
      </c>
      <c r="F156" t="s">
        <v>34</v>
      </c>
      <c r="G156" t="s">
        <v>35</v>
      </c>
      <c r="H156" s="3" t="str">
        <f>HYPERLINK("https://www.avito.ru/sankt-peterburg/uslugi/sdat_pripoy_pos_18-90priem_loma_7837735817","Сдать Припой пос 18-90/прием лома")</f>
      </c>
      <c r="I156" t="s">
        <v>220</v>
      </c>
      <c r="J156" t="s">
        <v>60</v>
      </c>
      <c r="K156" t="s">
        <v>66</v>
      </c>
      <c r="L156">
        <v>45</v>
      </c>
      <c r="M156" t="s">
        <v>62</v>
      </c>
      <c r="N156">
        <v>7</v>
      </c>
      <c r="O156" s="4">
        <v>0</v>
      </c>
      <c r="P156">
        <v>0</v>
      </c>
      <c r="Q156" s="5" t="s">
        <v>83</v>
      </c>
      <c r="R156" s="4" t="s">
        <v>83</v>
      </c>
      <c r="S156">
        <v>0</v>
      </c>
      <c r="T156">
        <v>0</v>
      </c>
      <c r="U156">
        <v>0</v>
      </c>
      <c r="V156">
        <v>0</v>
      </c>
      <c r="W156">
        <v>0</v>
      </c>
      <c r="X156" s="5" t="s">
        <v>83</v>
      </c>
      <c r="Y156">
        <v>0</v>
      </c>
      <c r="Z156" s="5">
        <v>100.8</v>
      </c>
      <c r="AA156" s="5">
        <v>0</v>
      </c>
      <c r="AB156" s="5">
        <v>100.8</v>
      </c>
      <c r="AC156" s="5">
        <v>0</v>
      </c>
      <c r="AD156" s="5">
        <v>0</v>
      </c>
    </row>
    <row r="157">
      <c r="A157" s="2" t="str">
        <f>HYPERLINK("https://www.avito.ru/sankt-peterburg/uslugi/sdat_lom_tsirkoniyapriem_tsirkoniyapriem_loma_7837861563","7837861563")</f>
      </c>
      <c r="B157" t="s">
        <v>55</v>
      </c>
      <c r="C157" t="s">
        <v>49</v>
      </c>
      <c r="D157" t="s">
        <v>138</v>
      </c>
      <c r="E157" t="s">
        <v>33</v>
      </c>
      <c r="F157" t="s">
        <v>34</v>
      </c>
      <c r="G157" t="s">
        <v>35</v>
      </c>
      <c r="H157" s="3" t="str">
        <f>HYPERLINK("https://www.avito.ru/sankt-peterburg/uslugi/sdat_lom_tsirkoniyapriem_tsirkoniyapriem_loma_7837861563","Сдать лом циркония/прием циркония/прием лома")</f>
      </c>
      <c r="I157" t="s">
        <v>139</v>
      </c>
      <c r="J157" t="s">
        <v>60</v>
      </c>
      <c r="K157" t="s">
        <v>66</v>
      </c>
      <c r="L157">
        <v>45</v>
      </c>
      <c r="M157" t="s">
        <v>62</v>
      </c>
      <c r="N157">
        <v>4</v>
      </c>
      <c r="O157" s="4">
        <v>0</v>
      </c>
      <c r="P157">
        <v>0</v>
      </c>
      <c r="Q157" s="5" t="s">
        <v>83</v>
      </c>
      <c r="R157" s="4" t="s">
        <v>83</v>
      </c>
      <c r="S157">
        <v>0</v>
      </c>
      <c r="T157">
        <v>0</v>
      </c>
      <c r="U157">
        <v>0</v>
      </c>
      <c r="V157">
        <v>0</v>
      </c>
      <c r="W157">
        <v>0</v>
      </c>
      <c r="X157" s="5" t="s">
        <v>83</v>
      </c>
      <c r="Y157">
        <v>0</v>
      </c>
      <c r="Z157" s="5">
        <v>100.8</v>
      </c>
      <c r="AA157" s="5">
        <v>0</v>
      </c>
      <c r="AB157" s="5">
        <v>100.8</v>
      </c>
      <c r="AC157" s="5">
        <v>0</v>
      </c>
      <c r="AD157" s="5">
        <v>0</v>
      </c>
    </row>
    <row r="158">
      <c r="A158" s="2" t="str">
        <f>HYPERLINK("https://www.avito.ru/cherepovets/uslugi/priem_tsvetnogo_metalloloma_7869225639","7869225639")</f>
      </c>
      <c r="B158" t="s">
        <v>40</v>
      </c>
      <c r="C158" t="s">
        <v>41</v>
      </c>
      <c r="D158" t="s">
        <v>42</v>
      </c>
      <c r="E158" t="s">
        <v>33</v>
      </c>
      <c r="F158" t="s">
        <v>34</v>
      </c>
      <c r="G158" t="s">
        <v>35</v>
      </c>
      <c r="H158" s="3" t="str">
        <f>HYPERLINK("https://www.avito.ru/cherepovets/uslugi/priem_tsvetnogo_metalloloma_7869225639","Прием цветного металлолома")</f>
      </c>
      <c r="I158" t="s">
        <v>101</v>
      </c>
      <c r="J158" t="s">
        <v>71</v>
      </c>
      <c r="K158" t="s">
        <v>72</v>
      </c>
      <c r="L158">
        <v>36</v>
      </c>
      <c r="M158" t="s">
        <v>39</v>
      </c>
      <c r="N158">
        <v>5</v>
      </c>
      <c r="O158" s="4">
        <v>0</v>
      </c>
      <c r="P158">
        <v>0</v>
      </c>
      <c r="Q158" s="5" t="s">
        <v>83</v>
      </c>
      <c r="R158" s="4" t="s">
        <v>83</v>
      </c>
      <c r="S158">
        <v>0</v>
      </c>
      <c r="T158">
        <v>0</v>
      </c>
      <c r="U158">
        <v>0</v>
      </c>
      <c r="V158">
        <v>0</v>
      </c>
      <c r="W158">
        <v>0</v>
      </c>
      <c r="X158" s="5" t="s">
        <v>83</v>
      </c>
      <c r="Y158">
        <v>0</v>
      </c>
      <c r="Z158" s="5">
        <v>30</v>
      </c>
      <c r="AA158" s="5">
        <v>0</v>
      </c>
      <c r="AB158" s="5">
        <v>30</v>
      </c>
      <c r="AC158" s="5">
        <v>0</v>
      </c>
      <c r="AD158" s="5">
        <v>0</v>
      </c>
    </row>
    <row r="159">
      <c r="A159" s="2" t="str">
        <f>HYPERLINK("https://www.avito.ru/sankt-peterburg/uslugi/priem_provodov._skupka_kabelya_provodov_7869241067","7869241067")</f>
      </c>
      <c r="B159" t="s">
        <v>55</v>
      </c>
      <c r="C159" t="s">
        <v>49</v>
      </c>
      <c r="D159" t="s">
        <v>156</v>
      </c>
      <c r="E159" t="s">
        <v>33</v>
      </c>
      <c r="F159" t="s">
        <v>34</v>
      </c>
      <c r="G159" t="s">
        <v>35</v>
      </c>
      <c r="H159" s="3" t="str">
        <f>HYPERLINK("https://www.avito.ru/sankt-peterburg/uslugi/priem_provodov._skupka_kabelya_provodov_7869241067","Прием проводов. Скупка кабеля проводов")</f>
      </c>
      <c r="I159" t="s">
        <v>99</v>
      </c>
      <c r="J159" t="s">
        <v>152</v>
      </c>
      <c r="K159" t="s">
        <v>153</v>
      </c>
      <c r="L159">
        <v>29</v>
      </c>
      <c r="M159" t="s">
        <v>83</v>
      </c>
      <c r="N159">
        <v>3</v>
      </c>
      <c r="O159" s="4">
        <v>0</v>
      </c>
      <c r="P159">
        <v>0</v>
      </c>
      <c r="Q159" s="5" t="s">
        <v>83</v>
      </c>
      <c r="R159" s="4" t="s">
        <v>83</v>
      </c>
      <c r="S159">
        <v>0</v>
      </c>
      <c r="T159">
        <v>0</v>
      </c>
      <c r="U159">
        <v>0</v>
      </c>
      <c r="V159">
        <v>0</v>
      </c>
      <c r="W159">
        <v>0</v>
      </c>
      <c r="X159" s="5" t="s">
        <v>83</v>
      </c>
      <c r="Y159">
        <v>0</v>
      </c>
      <c r="Z159" s="5">
        <v>100.8</v>
      </c>
      <c r="AA159" s="5">
        <v>0</v>
      </c>
      <c r="AB159" s="5">
        <v>100.8</v>
      </c>
      <c r="AC159" s="5">
        <v>0</v>
      </c>
      <c r="AD159" s="5">
        <v>0</v>
      </c>
    </row>
    <row r="160">
      <c r="A160" s="2" t="str">
        <f>HYPERLINK("https://www.avito.ru/vologda/uslugi/priem_tsvetnogo_metalloloma_7869556862","7869556862")</f>
      </c>
      <c r="B160" t="s">
        <v>40</v>
      </c>
      <c r="C160" t="s">
        <v>81</v>
      </c>
      <c r="D160" t="s">
        <v>82</v>
      </c>
      <c r="E160" t="s">
        <v>33</v>
      </c>
      <c r="F160" t="s">
        <v>34</v>
      </c>
      <c r="G160" t="s">
        <v>35</v>
      </c>
      <c r="H160" s="3" t="str">
        <f>HYPERLINK("https://www.avito.ru/vologda/uslugi/priem_tsvetnogo_metalloloma_7869556862","Прием цветного металлолома")</f>
      </c>
      <c r="I160" t="s">
        <v>101</v>
      </c>
      <c r="J160" t="s">
        <v>71</v>
      </c>
      <c r="K160" t="s">
        <v>72</v>
      </c>
      <c r="L160">
        <v>36</v>
      </c>
      <c r="M160" t="s">
        <v>39</v>
      </c>
      <c r="N160">
        <v>8</v>
      </c>
      <c r="O160" s="4">
        <v>0</v>
      </c>
      <c r="P160">
        <v>0</v>
      </c>
      <c r="Q160" s="5" t="s">
        <v>83</v>
      </c>
      <c r="R160" s="4" t="s">
        <v>83</v>
      </c>
      <c r="S160">
        <v>0</v>
      </c>
      <c r="T160">
        <v>0</v>
      </c>
      <c r="U160">
        <v>0</v>
      </c>
      <c r="V160">
        <v>0</v>
      </c>
      <c r="W160">
        <v>0</v>
      </c>
      <c r="X160" s="5" t="s">
        <v>83</v>
      </c>
      <c r="Y160">
        <v>0</v>
      </c>
      <c r="Z160" s="5">
        <v>45</v>
      </c>
      <c r="AA160" s="5">
        <v>0</v>
      </c>
      <c r="AB160" s="5">
        <v>45</v>
      </c>
      <c r="AC160" s="5">
        <v>0</v>
      </c>
      <c r="AD160" s="5">
        <v>0</v>
      </c>
    </row>
    <row r="161">
      <c r="A161" s="2" t="str">
        <f>HYPERLINK("https://www.avito.ru/novoe_devyatkino/uslugi/priem_provodov._skupka_7869745845","7869745845")</f>
      </c>
      <c r="B161" t="s">
        <v>116</v>
      </c>
      <c r="C161" t="s">
        <v>211</v>
      </c>
      <c r="D161" t="s">
        <v>212</v>
      </c>
      <c r="E161" t="s">
        <v>33</v>
      </c>
      <c r="F161" t="s">
        <v>34</v>
      </c>
      <c r="G161" t="s">
        <v>35</v>
      </c>
      <c r="H161" s="3" t="str">
        <f>HYPERLINK("https://www.avito.ru/novoe_devyatkino/uslugi/priem_provodov._skupka_7869745845","Прием проводов. Скупка")</f>
      </c>
      <c r="I161" t="s">
        <v>70</v>
      </c>
      <c r="J161" t="s">
        <v>221</v>
      </c>
      <c r="K161" t="s">
        <v>118</v>
      </c>
      <c r="L161">
        <v>38</v>
      </c>
      <c r="M161" t="s">
        <v>39</v>
      </c>
      <c r="N161">
        <v>0</v>
      </c>
      <c r="O161" s="4" t="s">
        <v>83</v>
      </c>
      <c r="P161">
        <v>0</v>
      </c>
      <c r="Q161" s="5" t="s">
        <v>83</v>
      </c>
      <c r="R161" s="4" t="s">
        <v>83</v>
      </c>
      <c r="S161">
        <v>0</v>
      </c>
      <c r="T161">
        <v>0</v>
      </c>
      <c r="U161">
        <v>0</v>
      </c>
      <c r="V161">
        <v>0</v>
      </c>
      <c r="W161">
        <v>0</v>
      </c>
      <c r="X161" s="5" t="s">
        <v>83</v>
      </c>
      <c r="Y161">
        <v>0</v>
      </c>
      <c r="Z161" s="5">
        <v>21.6</v>
      </c>
      <c r="AA161" s="5">
        <v>0</v>
      </c>
      <c r="AB161" s="5">
        <v>21.6</v>
      </c>
      <c r="AC161" s="5">
        <v>0</v>
      </c>
      <c r="AD161" s="5">
        <v>0</v>
      </c>
    </row>
  </sheetData>
  <autoFilter ref="$A$1:$AD$16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