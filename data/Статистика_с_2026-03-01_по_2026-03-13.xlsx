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'Sheet1'!$A$1:$AE$283</definedName>
  </definedNames>
  <calcPr calcId="122211"/>
</workbook>
</file>

<file path=xl/sharedStrings.xml><?xml version="1.0" encoding="utf-8"?>
<sst xmlns="http://schemas.openxmlformats.org/spreadsheetml/2006/main" count="243" uniqueCount="243">
  <si>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</si>
  <si>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</si>
  <si>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</si>
  <si>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</si>
  <si>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</si>
  <si>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</si>
  <si>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</si>
  <si>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</si>
  <si>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</si>
  <si>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</si>
  <si>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</si>
  <si>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</si>
  <si>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Сотрудник</t>
  </si>
  <si>
    <t>Показы</t>
  </si>
  <si>
    <t>Конверсия из показов в просмотры</t>
  </si>
  <si>
    <t>Просмотры</t>
  </si>
  <si>
    <t>Средняя цена просмотра</t>
  </si>
  <si>
    <t>Конверсия из просмотров в контакты</t>
  </si>
  <si>
    <t>Целевые просмотры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</si>
  <si>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</si>
  <si>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</si>
  <si>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</si>
  <si>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</si>
  <si>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</si>
  <si>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</si>
  <si>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</si>
  <si>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</si>
  <si>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</si>
  <si>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</si>
  <si>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</si>
  <si>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</si>
  <si>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Псковская область</t>
  </si>
  <si>
    <t>Великие Луки</t>
  </si>
  <si>
    <t>Великие Луки, Псковская ул., 1</t>
  </si>
  <si>
    <t>Услуги</t>
  </si>
  <si>
    <t>Предложение услуг</t>
  </si>
  <si>
    <t>Приём вторсырья</t>
  </si>
  <si>
    <t>27 000 ₽</t>
  </si>
  <si>
    <t>2026-03-10</t>
  </si>
  <si>
    <t>2026-04-09</t>
  </si>
  <si>
    <t/>
  </si>
  <si>
    <t>26 000 ₽</t>
  </si>
  <si>
    <t>Вологодская область</t>
  </si>
  <si>
    <t>Великий Устюг</t>
  </si>
  <si>
    <t>Великий Устюг, Советский пр-т, 3</t>
  </si>
  <si>
    <t>Вологда</t>
  </si>
  <si>
    <t>Вологда, ул. Чернышевского, 141А</t>
  </si>
  <si>
    <t>25 000 ₽</t>
  </si>
  <si>
    <t>Новгородская область</t>
  </si>
  <si>
    <t>Старая Русса</t>
  </si>
  <si>
    <t>Старая Русса, ул. Кириллова</t>
  </si>
  <si>
    <t>Карелия</t>
  </si>
  <si>
    <t>Петрозаводск</t>
  </si>
  <si>
    <t>Петрозаводск, Прибрежный пер., 1</t>
  </si>
  <si>
    <t>24 000 ₽</t>
  </si>
  <si>
    <t>Все регионы</t>
  </si>
  <si>
    <t>Санкт-Петербург</t>
  </si>
  <si>
    <t>Санкт-Петербург, пр-т Стачек, 70</t>
  </si>
  <si>
    <t>от 830 000 ₽ за услугу</t>
  </si>
  <si>
    <t>2025-07-11</t>
  </si>
  <si>
    <t>2026-03-26</t>
  </si>
  <si>
    <t>Остров</t>
  </si>
  <si>
    <t>Остров, ул. Карла Маркса, 90Б</t>
  </si>
  <si>
    <t>Валдай</t>
  </si>
  <si>
    <t>Валдай, Новгородская ул., 3</t>
  </si>
  <si>
    <t>30 000 ₽</t>
  </si>
  <si>
    <t>Санкт-Петербург, Московская пл.</t>
  </si>
  <si>
    <t>от 50 000 ₽ за услугу</t>
  </si>
  <si>
    <t>2025-09-01</t>
  </si>
  <si>
    <t>2026-04-05</t>
  </si>
  <si>
    <t>Боровичи</t>
  </si>
  <si>
    <t>Боровичи, Новгородская ул., 1</t>
  </si>
  <si>
    <t>23 000 ₽</t>
  </si>
  <si>
    <t>Ленинградская область</t>
  </si>
  <si>
    <t>Луга</t>
  </si>
  <si>
    <t>Луга, Старорусская ул., 13Г</t>
  </si>
  <si>
    <t>Псков</t>
  </si>
  <si>
    <t>Псков, Инженерная ул., 7</t>
  </si>
  <si>
    <t>34 500 ₽</t>
  </si>
  <si>
    <t>Санкт-Петербург, пл. Стачек</t>
  </si>
  <si>
    <t>830 000 ₽ за услугу</t>
  </si>
  <si>
    <t>2025-09-18</t>
  </si>
  <si>
    <t>Грязовец</t>
  </si>
  <si>
    <t>Грязовец, ул. Волкова, 11/2</t>
  </si>
  <si>
    <t>Санкт-Петербург, пр-т Просвещения, 19</t>
  </si>
  <si>
    <t>33 000 ₽</t>
  </si>
  <si>
    <t>2026-03-07</t>
  </si>
  <si>
    <t>2026-04-06</t>
  </si>
  <si>
    <t>Санкт-Петербург, б-р Новаторов, 73к4А</t>
  </si>
  <si>
    <t>45 000 ₽ за услугу</t>
  </si>
  <si>
    <t>2026-03-29</t>
  </si>
  <si>
    <t>Псков, Алмазная ул., 6</t>
  </si>
  <si>
    <t>Череповец</t>
  </si>
  <si>
    <t>Череповец, Северное ш., 71А</t>
  </si>
  <si>
    <t>Санкт-Петербург, Гражданский пр-т, 116к1</t>
  </si>
  <si>
    <t>20 000 ₽</t>
  </si>
  <si>
    <t>2026-03-06</t>
  </si>
  <si>
    <t>Санкт-Петербург, Заневский пр-т, 69</t>
  </si>
  <si>
    <t>Выборг</t>
  </si>
  <si>
    <t>Выборг, Промышленная ул., 10</t>
  </si>
  <si>
    <t>Сокол</t>
  </si>
  <si>
    <t>Сокол, Советская ул., 122Б</t>
  </si>
  <si>
    <t>Пикалево</t>
  </si>
  <si>
    <t>Пикалёво, Советская ул.</t>
  </si>
  <si>
    <t>Сланцы</t>
  </si>
  <si>
    <t>Сланцы, Сланцевское ш., 32Б</t>
  </si>
  <si>
    <t>Шексна</t>
  </si>
  <si>
    <t>рп. Шексна, ДОЗ ул.</t>
  </si>
  <si>
    <t>Санкт-Петербург, ул. Одоевского, 29</t>
  </si>
  <si>
    <t>от 29 600 ₽ за услугу</t>
  </si>
  <si>
    <t>Санкт-Петербург, пр-т Науки, 19к1</t>
  </si>
  <si>
    <t>2026-03-09</t>
  </si>
  <si>
    <t>2026-04-08</t>
  </si>
  <si>
    <t>Тихвин</t>
  </si>
  <si>
    <t>Тихвин, Право-Вологодский тупик, 9</t>
  </si>
  <si>
    <t>Санкт-Петербург, ул. Дыбенко, 26</t>
  </si>
  <si>
    <t>Архангельская область</t>
  </si>
  <si>
    <t>Северодвинск</t>
  </si>
  <si>
    <t>Северодвинск, Ягринское ш., 2А</t>
  </si>
  <si>
    <t>Санкт-Петербург, 1 линия – Кировско-Выборгская</t>
  </si>
  <si>
    <t>Другое</t>
  </si>
  <si>
    <t>1 000 ₽ за услугу</t>
  </si>
  <si>
    <t>2025-11-06</t>
  </si>
  <si>
    <t>2026-03-13</t>
  </si>
  <si>
    <t>2026-04-12</t>
  </si>
  <si>
    <t>Санкт-Петербург, Бухарестская ул., 30</t>
  </si>
  <si>
    <t>Великий Новгород</t>
  </si>
  <si>
    <t>Великий Новгород, Донецкий район, Студенческая ул., 20</t>
  </si>
  <si>
    <t>Санкт-Петербург, Заневский пр-т</t>
  </si>
  <si>
    <t>2026-03-20</t>
  </si>
  <si>
    <t>Пестово</t>
  </si>
  <si>
    <t>Пестово, Луговая ул., 4</t>
  </si>
  <si>
    <t>Гатчина</t>
  </si>
  <si>
    <t>Гатчина, ул. Старая Дорога, 2</t>
  </si>
  <si>
    <t>Подпорожье</t>
  </si>
  <si>
    <t>Невель</t>
  </si>
  <si>
    <t>Невель, ул. Урицкого, 116</t>
  </si>
  <si>
    <t>от 650 000 ₽ за услугу</t>
  </si>
  <si>
    <t>2025-09-26</t>
  </si>
  <si>
    <t>Санкт-Петербург, ул. Савушкина, 2</t>
  </si>
  <si>
    <t>Волхов</t>
  </si>
  <si>
    <t>Волхов, Новгородская ул., 7</t>
  </si>
  <si>
    <t>Снос и демонтаж</t>
  </si>
  <si>
    <t>от 20 000 ₽ за услугу</t>
  </si>
  <si>
    <t>2025-10-09</t>
  </si>
  <si>
    <t>Санкт-Петербург, 2 линия – Московско-Петроградская</t>
  </si>
  <si>
    <t>от 7 000 ₽ за услугу</t>
  </si>
  <si>
    <t>2026-03-11</t>
  </si>
  <si>
    <t>2026-04-10</t>
  </si>
  <si>
    <t>Новодвинск</t>
  </si>
  <si>
    <t>Новодвинск, ул. Фронтовых Бригад, 12</t>
  </si>
  <si>
    <t>30 700 ₽</t>
  </si>
  <si>
    <t>2026-03-12</t>
  </si>
  <si>
    <t>2026-04-11</t>
  </si>
  <si>
    <t>от 2 200 ₽ за услугу</t>
  </si>
  <si>
    <t>2025-09-25</t>
  </si>
  <si>
    <t>Бабаево</t>
  </si>
  <si>
    <t>Бабаево, Северная ул., 56</t>
  </si>
  <si>
    <t>Архангельск</t>
  </si>
  <si>
    <t>Архангельск, ул. Октябрят, 27к3</t>
  </si>
  <si>
    <t>Кипень</t>
  </si>
  <si>
    <t>д. Кипень, Ропшинское ш., 66</t>
  </si>
  <si>
    <t>Бокситогорск</t>
  </si>
  <si>
    <t>Бокситогорск, Дымское ш., 1</t>
  </si>
  <si>
    <t>Всеволожск</t>
  </si>
  <si>
    <t>Всеволожск, Лиственная ул., 16</t>
  </si>
  <si>
    <t>Кириши</t>
  </si>
  <si>
    <t>Кириши, ш. Энтузиастов, 6А</t>
  </si>
  <si>
    <t>Ивангород</t>
  </si>
  <si>
    <t>Ивангород, Кингисеппское ш.</t>
  </si>
  <si>
    <t>Санкт-Петербург, Центральный район, Кирпичный пер., 1</t>
  </si>
  <si>
    <t>Коммунары</t>
  </si>
  <si>
    <t>пос. Коммунары, Центральная ул.</t>
  </si>
  <si>
    <t>Сосновый Бор</t>
  </si>
  <si>
    <t>Сосновый Бор, Ракопежское ш., 32</t>
  </si>
  <si>
    <t>Тосно</t>
  </si>
  <si>
    <t>Тосно, Октябрьская ул., 125Л</t>
  </si>
  <si>
    <t>Кадуй</t>
  </si>
  <si>
    <t>рп. Кадуй, Советская ул., 3</t>
  </si>
  <si>
    <t>Вытегра</t>
  </si>
  <si>
    <t>Вытегра, Вологодская ул., 1</t>
  </si>
  <si>
    <t>Малая Вишера</t>
  </si>
  <si>
    <t>Санкт-Петербург, ул. Смолячкова, 21</t>
  </si>
  <si>
    <t>Чудово</t>
  </si>
  <si>
    <t>Чудово, ул. Губина, 1В</t>
  </si>
  <si>
    <t>Санкт-Петербург, пр-т Энгельса, 162Р</t>
  </si>
  <si>
    <t>2026-03-08</t>
  </si>
  <si>
    <t>2026-04-07</t>
  </si>
  <si>
    <t>Лодейное Поле</t>
  </si>
  <si>
    <t>Гостилицы</t>
  </si>
  <si>
    <t>д. Оржицы</t>
  </si>
  <si>
    <t>Сертолово</t>
  </si>
  <si>
    <t>Сертолово, Песочная ул., 8к1</t>
  </si>
  <si>
    <t>Санкт-Петербург, Дворцовая пл.</t>
  </si>
  <si>
    <t>Санкт-Петербург, Коломяжский пр-т, 24</t>
  </si>
  <si>
    <t>Тайцы</t>
  </si>
  <si>
    <t>городской пос. Тайцы, Советская ул.</t>
  </si>
  <si>
    <t>Новая Ладога</t>
  </si>
  <si>
    <t>Новая Ладога, ул. Суворова, 53</t>
  </si>
  <si>
    <t>Кировск</t>
  </si>
  <si>
    <t>Кировск, Северная ул., 1В</t>
  </si>
  <si>
    <t>Кингисепп</t>
  </si>
  <si>
    <t>Кингисепп, ул. Дорожников, 35</t>
  </si>
  <si>
    <t>Волосово</t>
  </si>
  <si>
    <t>Волосово, ул. Восстания, 6</t>
  </si>
  <si>
    <t>Кудрово</t>
  </si>
  <si>
    <t>Кудрово, мкр-н Южное Кудрово</t>
  </si>
  <si>
    <t>Санкт-Петербург, Комендантский пр-т</t>
  </si>
  <si>
    <t>Мурино</t>
  </si>
  <si>
    <t>Мурино, Центральная ул., 50А</t>
  </si>
  <si>
    <t>Высоцк</t>
  </si>
  <si>
    <t>Высоцк, Центральная ул.</t>
  </si>
  <si>
    <t>Коммунар</t>
  </si>
  <si>
    <t>Коммунар, Железнодорожная ул., 6А</t>
  </si>
  <si>
    <t>Никольское</t>
  </si>
  <si>
    <t>Янино-1</t>
  </si>
  <si>
    <t>городской пос. Янино-1, Кольцевая ул., 3</t>
  </si>
  <si>
    <t>Новое Девяткино</t>
  </si>
  <si>
    <t>д. Новое Девяткино, Главная ул., 48</t>
  </si>
  <si>
    <t>Красная Долина</t>
  </si>
  <si>
    <t>пос. Красная Долина, Центральное ш.</t>
  </si>
  <si>
    <t>Лебяжье</t>
  </si>
  <si>
    <t>городской пос. Лебяжье, Строительная ул., 10</t>
  </si>
  <si>
    <t>Сясьстрой</t>
  </si>
  <si>
    <t>Сясьстрой, Петрозаводская ул., 34</t>
  </si>
  <si>
    <t>Шлиссельбург</t>
  </si>
  <si>
    <t>Шлиссельбург, ул. Красный Тракт, 7А</t>
  </si>
  <si>
    <t>Санкт-Петербург, Бухарестская ул.</t>
  </si>
  <si>
    <t>Старая</t>
  </si>
  <si>
    <t>Колтуши, Новосергиевский пр., 5Б</t>
  </si>
  <si>
    <t>Приморск</t>
  </si>
  <si>
    <t>Приморск, наб. Лебедева</t>
  </si>
  <si>
    <t>Новоселье</t>
  </si>
  <si>
    <t>городской пос. Новоселье, Красносельское ш.</t>
  </si>
  <si>
    <t>Каменногорск</t>
  </si>
  <si>
    <t>Каменногорск, Ленинградское ш.</t>
  </si>
  <si>
    <t>Бугры</t>
  </si>
  <si>
    <t>Бугры, Шоссейная ул., 35Вк1</t>
  </si>
  <si>
    <t>Светогорск</t>
  </si>
  <si>
    <t>Отрадное</t>
  </si>
  <si>
    <t>Отрадное, Заводская ул., 1А</t>
  </si>
  <si>
    <t>Волошово</t>
  </si>
  <si>
    <t>пос. Волошово, Школьная ул.</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</si>
</sst>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F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5"/>
    <col customWidth="true" max="14" min="14" width="12"/>
    <col customWidth="true" max="15" min="15" width="38"/>
    <col customWidth="true" max="16" min="16" width="15"/>
    <col customWidth="true" max="17" min="17" width="28"/>
    <col customWidth="true" max="18" min="18" width="40"/>
    <col customWidth="true" max="19" min="19" width="23"/>
    <col customWidth="true" max="20" min="20" width="14"/>
    <col customWidth="true" max="21" min="21" width="20"/>
    <col customWidth="true" max="22" min="22" width="24"/>
    <col customWidth="true" max="23" min="23" width="41"/>
    <col customWidth="true" max="24" min="24" width="35"/>
    <col customWidth="true" max="25" min="25" width="27"/>
    <col customWidth="true" max="26" min="26" width="26"/>
    <col customWidth="true" max="27" min="27" width="27"/>
    <col customWidth="true" max="28" min="28" width="35"/>
    <col customWidth="true" max="29" min="29" width="46"/>
    <col customWidth="true" max="30" min="30" width="28"/>
    <col customWidth="true" max="31" min="31" width="2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2" t="str">
        <f>HYPERLINK("https://www.avito.ru/velikie_luki/uslugi/priem_metalloloma_priem_chernogo_loma_8023244289","8023244289")</f>
      </c>
      <c r="B2" t="s">
        <v>31</v>
      </c>
      <c r="C2" t="s">
        <v>32</v>
      </c>
      <c r="D2" t="s">
        <v>33</v>
      </c>
      <c r="E2" t="s">
        <v>34</v>
      </c>
      <c r="F2" t="s">
        <v>35</v>
      </c>
      <c r="G2" t="s">
        <v>36</v>
      </c>
      <c r="H2" s="3" t="str">
        <f>HYPERLINK("https://www.avito.ru/velikie_luki/uslugi/priem_metalloloma_priem_chernogo_loma_8023244289","Прием металлолома / Прием черного лома")</f>
      </c>
      <c r="I2" t="s">
        <v>37</v>
      </c>
      <c r="J2" t="s">
        <v>38</v>
      </c>
      <c r="K2" t="s">
        <v>39</v>
      </c>
      <c r="L2">
        <v>4</v>
      </c>
      <c r="M2" t="s">
        <v>40</v>
      </c>
      <c r="N2">
        <v>4217</v>
      </c>
      <c r="O2" s="4">
        <v>0.2058</v>
      </c>
      <c r="P2">
        <v>868</v>
      </c>
      <c r="Q2" s="5">
        <v>4.8</v>
      </c>
      <c r="R2" s="4">
        <v>0.0207</v>
      </c>
      <c r="S2">
        <v>817</v>
      </c>
      <c r="T2">
        <v>18</v>
      </c>
      <c r="U2">
        <v>4</v>
      </c>
      <c r="V2">
        <v>14</v>
      </c>
      <c r="W2">
        <v>0</v>
      </c>
      <c r="X2">
        <v>0</v>
      </c>
      <c r="Y2" s="5">
        <v>231.48</v>
      </c>
      <c r="Z2">
        <v>40</v>
      </c>
      <c r="AA2" s="5">
        <v>4166.7</v>
      </c>
      <c r="AB2" s="5">
        <v>0</v>
      </c>
      <c r="AC2" s="5">
        <v>4166.7</v>
      </c>
      <c r="AD2" s="5">
        <v>0</v>
      </c>
      <c r="AE2" s="5">
        <v>0</v>
      </c>
    </row>
    <row r="3">
      <c r="A3" s="2" t="str">
        <f>HYPERLINK("https://www.avito.ru/velikie_luki/uslugi/priem_loma_tsvetnyh_metallov_8023438563","8023438563")</f>
      </c>
      <c r="B3" t="s">
        <v>31</v>
      </c>
      <c r="C3" t="s">
        <v>32</v>
      </c>
      <c r="D3" t="s">
        <v>33</v>
      </c>
      <c r="E3" t="s">
        <v>34</v>
      </c>
      <c r="F3" t="s">
        <v>35</v>
      </c>
      <c r="G3" t="s">
        <v>36</v>
      </c>
      <c r="H3" s="3" t="str">
        <f>HYPERLINK("https://www.avito.ru/velikie_luki/uslugi/priem_loma_tsvetnyh_metallov_8023438563","Прием лома цветных металлов")</f>
      </c>
      <c r="I3" t="s">
        <v>41</v>
      </c>
      <c r="J3" t="s">
        <v>38</v>
      </c>
      <c r="K3" t="s">
        <v>39</v>
      </c>
      <c r="L3">
        <v>4</v>
      </c>
      <c r="M3" t="s">
        <v>40</v>
      </c>
      <c r="N3">
        <v>1604</v>
      </c>
      <c r="O3" s="4">
        <v>0.2387</v>
      </c>
      <c r="P3">
        <v>383</v>
      </c>
      <c r="Q3" s="5">
        <v>4.71</v>
      </c>
      <c r="R3" s="4">
        <v>0.0078</v>
      </c>
      <c r="S3">
        <v>354</v>
      </c>
      <c r="T3">
        <v>3</v>
      </c>
      <c r="U3">
        <v>2</v>
      </c>
      <c r="V3">
        <v>1</v>
      </c>
      <c r="W3">
        <v>0</v>
      </c>
      <c r="X3">
        <v>0</v>
      </c>
      <c r="Y3" s="5">
        <v>601.8</v>
      </c>
      <c r="Z3">
        <v>10</v>
      </c>
      <c r="AA3" s="5">
        <v>1805.4</v>
      </c>
      <c r="AB3" s="5">
        <v>0</v>
      </c>
      <c r="AC3" s="5">
        <v>1805.4</v>
      </c>
      <c r="AD3" s="5">
        <v>0</v>
      </c>
      <c r="AE3" s="5">
        <v>0</v>
      </c>
    </row>
    <row r="4">
      <c r="A4" s="2" t="str">
        <f>HYPERLINK("https://www.avito.ru/velikiy_ustyug/uslugi/priem_metalloloma_priem_chernogo_loma_8023813595","8023813595")</f>
      </c>
      <c r="B4" t="s">
        <v>42</v>
      </c>
      <c r="C4" t="s">
        <v>43</v>
      </c>
      <c r="D4" t="s">
        <v>44</v>
      </c>
      <c r="E4" t="s">
        <v>34</v>
      </c>
      <c r="F4" t="s">
        <v>35</v>
      </c>
      <c r="G4" t="s">
        <v>36</v>
      </c>
      <c r="H4" s="3" t="str">
        <f>HYPERLINK("https://www.avito.ru/velikiy_ustyug/uslugi/priem_metalloloma_priem_chernogo_loma_8023813595","Прием металлолома / Прием черного лома")</f>
      </c>
      <c r="I4" t="s">
        <v>37</v>
      </c>
      <c r="J4" t="s">
        <v>38</v>
      </c>
      <c r="K4" t="s">
        <v>39</v>
      </c>
      <c r="L4">
        <v>4</v>
      </c>
      <c r="M4" t="s">
        <v>40</v>
      </c>
      <c r="N4">
        <v>1397</v>
      </c>
      <c r="O4" s="4">
        <v>0.2498</v>
      </c>
      <c r="P4">
        <v>349</v>
      </c>
      <c r="Q4" s="5">
        <v>4.74</v>
      </c>
      <c r="R4" s="4">
        <v>0.02</v>
      </c>
      <c r="S4">
        <v>325</v>
      </c>
      <c r="T4">
        <v>7</v>
      </c>
      <c r="U4">
        <v>3</v>
      </c>
      <c r="V4">
        <v>3</v>
      </c>
      <c r="W4">
        <v>1</v>
      </c>
      <c r="X4">
        <v>0</v>
      </c>
      <c r="Y4" s="5">
        <v>236.78</v>
      </c>
      <c r="Z4">
        <v>9</v>
      </c>
      <c r="AA4" s="5">
        <v>1657.5</v>
      </c>
      <c r="AB4" s="5">
        <v>0</v>
      </c>
      <c r="AC4" s="5">
        <v>1657.5</v>
      </c>
      <c r="AD4" s="5">
        <v>0</v>
      </c>
      <c r="AE4" s="5">
        <v>0</v>
      </c>
    </row>
    <row r="5">
      <c r="A5" s="2" t="str">
        <f>HYPERLINK("https://www.avito.ru/vologda/uslugi/priem_metalloloma_priem_chernogo_loma_opt_8023342779","8023342779")</f>
      </c>
      <c r="B5" t="s">
        <v>42</v>
      </c>
      <c r="C5" t="s">
        <v>45</v>
      </c>
      <c r="D5" t="s">
        <v>46</v>
      </c>
      <c r="E5" t="s">
        <v>34</v>
      </c>
      <c r="F5" t="s">
        <v>35</v>
      </c>
      <c r="G5" t="s">
        <v>36</v>
      </c>
      <c r="H5" s="3" t="str">
        <f>HYPERLINK("https://www.avito.ru/vologda/uslugi/priem_metalloloma_priem_chernogo_loma_opt_8023342779","Прием металлолома / Прием черного лома опт")</f>
      </c>
      <c r="I5" t="s">
        <v>47</v>
      </c>
      <c r="J5" t="s">
        <v>38</v>
      </c>
      <c r="K5" t="s">
        <v>39</v>
      </c>
      <c r="L5">
        <v>4</v>
      </c>
      <c r="M5" t="s">
        <v>40</v>
      </c>
      <c r="N5">
        <v>862</v>
      </c>
      <c r="O5" s="4">
        <v>0.1879</v>
      </c>
      <c r="P5">
        <v>162</v>
      </c>
      <c r="Q5" s="5">
        <v>4.75</v>
      </c>
      <c r="R5" s="4">
        <v>0.0246</v>
      </c>
      <c r="S5">
        <v>151</v>
      </c>
      <c r="T5">
        <v>4</v>
      </c>
      <c r="U5">
        <v>2</v>
      </c>
      <c r="V5">
        <v>2</v>
      </c>
      <c r="W5">
        <v>0</v>
      </c>
      <c r="X5">
        <v>0</v>
      </c>
      <c r="Y5" s="5">
        <v>192.52</v>
      </c>
      <c r="Z5">
        <v>5</v>
      </c>
      <c r="AA5" s="5">
        <v>770.1</v>
      </c>
      <c r="AB5" s="5">
        <v>0</v>
      </c>
      <c r="AC5" s="5">
        <v>770.1</v>
      </c>
      <c r="AD5" s="5">
        <v>0</v>
      </c>
      <c r="AE5" s="5">
        <v>0</v>
      </c>
    </row>
    <row r="6">
      <c r="A6" s="2" t="str">
        <f>HYPERLINK("https://www.avito.ru/velikiy_ustyug/uslugi/priem_metalloloma_priem_tsvetnogo_loma_8023358866","8023358866")</f>
      </c>
      <c r="B6" t="s">
        <v>42</v>
      </c>
      <c r="C6" t="s">
        <v>43</v>
      </c>
      <c r="D6" t="s">
        <v>44</v>
      </c>
      <c r="E6" t="s">
        <v>34</v>
      </c>
      <c r="F6" t="s">
        <v>35</v>
      </c>
      <c r="G6" t="s">
        <v>36</v>
      </c>
      <c r="H6" s="3" t="str">
        <f>HYPERLINK("https://www.avito.ru/velikiy_ustyug/uslugi/priem_metalloloma_priem_tsvetnogo_loma_8023358866","Прием металлолома / Прием цветного лома")</f>
      </c>
      <c r="I6" t="s">
        <v>41</v>
      </c>
      <c r="J6" t="s">
        <v>38</v>
      </c>
      <c r="K6" t="s">
        <v>39</v>
      </c>
      <c r="L6">
        <v>4</v>
      </c>
      <c r="M6" t="s">
        <v>40</v>
      </c>
      <c r="N6">
        <v>603</v>
      </c>
      <c r="O6" s="4">
        <v>0.2636</v>
      </c>
      <c r="P6">
        <v>159</v>
      </c>
      <c r="Q6" s="5">
        <v>4.84</v>
      </c>
      <c r="R6" s="4">
        <v>0.0125</v>
      </c>
      <c r="S6">
        <v>151</v>
      </c>
      <c r="T6">
        <v>2</v>
      </c>
      <c r="U6">
        <v>1</v>
      </c>
      <c r="V6">
        <v>1</v>
      </c>
      <c r="W6">
        <v>0</v>
      </c>
      <c r="X6">
        <v>0</v>
      </c>
      <c r="Y6" s="5">
        <v>385.05</v>
      </c>
      <c r="Z6">
        <v>2</v>
      </c>
      <c r="AA6" s="5">
        <v>770.1</v>
      </c>
      <c r="AB6" s="5">
        <v>0</v>
      </c>
      <c r="AC6" s="5">
        <v>770.1</v>
      </c>
      <c r="AD6" s="5">
        <v>0</v>
      </c>
      <c r="AE6" s="5">
        <v>0</v>
      </c>
    </row>
    <row r="7">
      <c r="A7" s="2" t="str">
        <f>HYPERLINK("https://www.avito.ru/staraya_russa/uslugi/priem_metalloloma_priem_chernogo_loma_opt_8023217367","8023217367")</f>
      </c>
      <c r="B7" t="s">
        <v>48</v>
      </c>
      <c r="C7" t="s">
        <v>49</v>
      </c>
      <c r="D7" t="s">
        <v>50</v>
      </c>
      <c r="E7" t="s">
        <v>34</v>
      </c>
      <c r="F7" t="s">
        <v>35</v>
      </c>
      <c r="G7" t="s">
        <v>36</v>
      </c>
      <c r="H7" s="3" t="str">
        <f>HYPERLINK("https://www.avito.ru/staraya_russa/uslugi/priem_metalloloma_priem_chernogo_loma_opt_8023217367","Прием металлолома / Прием черного лома опт")</f>
      </c>
      <c r="I7" t="s">
        <v>37</v>
      </c>
      <c r="J7" t="s">
        <v>38</v>
      </c>
      <c r="K7" t="s">
        <v>39</v>
      </c>
      <c r="L7">
        <v>4</v>
      </c>
      <c r="M7" t="s">
        <v>40</v>
      </c>
      <c r="N7">
        <v>642</v>
      </c>
      <c r="O7" s="4">
        <v>0.2367</v>
      </c>
      <c r="P7">
        <v>152</v>
      </c>
      <c r="Q7" s="5">
        <v>4.52</v>
      </c>
      <c r="R7" s="4">
        <v>0.0197</v>
      </c>
      <c r="S7">
        <v>135</v>
      </c>
      <c r="T7">
        <v>3</v>
      </c>
      <c r="U7">
        <v>2</v>
      </c>
      <c r="V7">
        <v>1</v>
      </c>
      <c r="W7">
        <v>0</v>
      </c>
      <c r="X7">
        <v>0</v>
      </c>
      <c r="Y7" s="5">
        <v>229.5</v>
      </c>
      <c r="Z7">
        <v>3</v>
      </c>
      <c r="AA7" s="5">
        <v>688.5</v>
      </c>
      <c r="AB7" s="5">
        <v>0</v>
      </c>
      <c r="AC7" s="5">
        <v>688.5</v>
      </c>
      <c r="AD7" s="5">
        <v>0</v>
      </c>
      <c r="AE7" s="5">
        <v>0</v>
      </c>
    </row>
    <row r="8">
      <c r="A8" s="2" t="str">
        <f>HYPERLINK("https://www.avito.ru/petrozavodsk/uslugi/priem_metalloloma_priem_chernogo_loma_opt_8023699523","8023699523")</f>
      </c>
      <c r="B8" t="s">
        <v>51</v>
      </c>
      <c r="C8" t="s">
        <v>52</v>
      </c>
      <c r="D8" t="s">
        <v>53</v>
      </c>
      <c r="E8" t="s">
        <v>34</v>
      </c>
      <c r="F8" t="s">
        <v>35</v>
      </c>
      <c r="G8" t="s">
        <v>36</v>
      </c>
      <c r="H8" s="3" t="str">
        <f>HYPERLINK("https://www.avito.ru/petrozavodsk/uslugi/priem_metalloloma_priem_chernogo_loma_opt_8023699523","Прием металлолома / Прием черного лома опт")</f>
      </c>
      <c r="I8" t="s">
        <v>54</v>
      </c>
      <c r="J8" t="s">
        <v>38</v>
      </c>
      <c r="K8" t="s">
        <v>39</v>
      </c>
      <c r="L8">
        <v>4</v>
      </c>
      <c r="M8" t="s">
        <v>40</v>
      </c>
      <c r="N8">
        <v>832</v>
      </c>
      <c r="O8" s="4">
        <v>0.1706</v>
      </c>
      <c r="P8">
        <v>142</v>
      </c>
      <c r="Q8" s="5">
        <v>4.77</v>
      </c>
      <c r="R8" s="4">
        <v>0.014</v>
      </c>
      <c r="S8">
        <v>133</v>
      </c>
      <c r="T8">
        <v>2</v>
      </c>
      <c r="U8">
        <v>1</v>
      </c>
      <c r="V8">
        <v>1</v>
      </c>
      <c r="W8">
        <v>0</v>
      </c>
      <c r="X8">
        <v>0</v>
      </c>
      <c r="Y8" s="5">
        <v>339.15</v>
      </c>
      <c r="Z8">
        <v>5</v>
      </c>
      <c r="AA8" s="5">
        <v>678.3</v>
      </c>
      <c r="AB8" s="5">
        <v>0</v>
      </c>
      <c r="AC8" s="5">
        <v>678.3</v>
      </c>
      <c r="AD8" s="5">
        <v>0</v>
      </c>
      <c r="AE8" s="5">
        <v>0</v>
      </c>
    </row>
    <row r="9">
      <c r="A9" s="2" t="str">
        <f>HYPERLINK("https://www.avito.ru/sankt-peterburg/uslugi/priem_i_vyvoz_metalla_priem_loma_7543519387","7543519387")</f>
      </c>
      <c r="B9" t="s">
        <v>55</v>
      </c>
      <c r="C9" t="s">
        <v>56</v>
      </c>
      <c r="D9" t="s">
        <v>57</v>
      </c>
      <c r="E9" t="s">
        <v>34</v>
      </c>
      <c r="F9" t="s">
        <v>35</v>
      </c>
      <c r="G9" t="s">
        <v>36</v>
      </c>
      <c r="H9" s="3" t="str">
        <f>HYPERLINK("https://www.avito.ru/sankt-peterburg/uslugi/priem_i_vyvoz_metalla_priem_loma_7543519387","Прием и вывоз металла/ Прием лома")</f>
      </c>
      <c r="I9" t="s">
        <v>58</v>
      </c>
      <c r="J9" t="s">
        <v>59</v>
      </c>
      <c r="K9" t="s">
        <v>60</v>
      </c>
      <c r="L9">
        <v>246</v>
      </c>
      <c r="M9" t="s">
        <v>40</v>
      </c>
      <c r="N9">
        <v>1099</v>
      </c>
      <c r="O9" s="4">
        <v>0.1255</v>
      </c>
      <c r="P9">
        <v>138</v>
      </c>
      <c r="Q9" s="5">
        <v>157.98</v>
      </c>
      <c r="R9" s="4">
        <v>0.0869</v>
      </c>
      <c r="S9">
        <v>129</v>
      </c>
      <c r="T9">
        <v>12</v>
      </c>
      <c r="U9">
        <v>6</v>
      </c>
      <c r="V9">
        <v>5</v>
      </c>
      <c r="W9">
        <v>1</v>
      </c>
      <c r="X9">
        <v>0</v>
      </c>
      <c r="Y9" s="5">
        <v>1816.81</v>
      </c>
      <c r="Z9">
        <v>2</v>
      </c>
      <c r="AA9" s="5">
        <v>21801.8</v>
      </c>
      <c r="AB9" s="5">
        <v>0</v>
      </c>
      <c r="AC9" s="5">
        <v>21562.8</v>
      </c>
      <c r="AD9" s="5">
        <v>239</v>
      </c>
      <c r="AE9" s="5">
        <v>0</v>
      </c>
    </row>
    <row r="10">
      <c r="A10" s="2" t="str">
        <f>HYPERLINK("https://www.avito.ru/ostrov/uslugi/priem_tsvetnogo_metalloloma_8023060857","8023060857")</f>
      </c>
      <c r="B10" t="s">
        <v>31</v>
      </c>
      <c r="C10" t="s">
        <v>61</v>
      </c>
      <c r="D10" t="s">
        <v>62</v>
      </c>
      <c r="E10" t="s">
        <v>34</v>
      </c>
      <c r="F10" t="s">
        <v>35</v>
      </c>
      <c r="G10" t="s">
        <v>36</v>
      </c>
      <c r="H10" s="3" t="str">
        <f>HYPERLINK("https://www.avito.ru/ostrov/uslugi/priem_tsvetnogo_metalloloma_8023060857","Прием цветного металлолома")</f>
      </c>
      <c r="I10" t="s">
        <v>37</v>
      </c>
      <c r="J10" t="s">
        <v>38</v>
      </c>
      <c r="K10" t="s">
        <v>39</v>
      </c>
      <c r="L10">
        <v>4</v>
      </c>
      <c r="M10" t="s">
        <v>40</v>
      </c>
      <c r="N10">
        <v>444</v>
      </c>
      <c r="O10" s="4">
        <v>0.2725</v>
      </c>
      <c r="P10">
        <v>121</v>
      </c>
      <c r="Q10" s="5">
        <v>4.63</v>
      </c>
      <c r="R10" s="4">
        <v>0.0082</v>
      </c>
      <c r="S10">
        <v>110</v>
      </c>
      <c r="T10">
        <v>1</v>
      </c>
      <c r="U10">
        <v>0</v>
      </c>
      <c r="V10">
        <v>1</v>
      </c>
      <c r="W10">
        <v>0</v>
      </c>
      <c r="X10">
        <v>0</v>
      </c>
      <c r="Y10" s="5">
        <v>561</v>
      </c>
      <c r="Z10">
        <v>3</v>
      </c>
      <c r="AA10" s="5">
        <v>561</v>
      </c>
      <c r="AB10" s="5">
        <v>0</v>
      </c>
      <c r="AC10" s="5">
        <v>561</v>
      </c>
      <c r="AD10" s="5">
        <v>0</v>
      </c>
      <c r="AE10" s="5">
        <v>0</v>
      </c>
    </row>
    <row r="11">
      <c r="A11" s="2" t="str">
        <f>HYPERLINK("https://www.avito.ru/valday/uslugi/priem_loma_tsvetnyh_metallov_8023592145","8023592145")</f>
      </c>
      <c r="B11" t="s">
        <v>48</v>
      </c>
      <c r="C11" t="s">
        <v>63</v>
      </c>
      <c r="D11" t="s">
        <v>64</v>
      </c>
      <c r="E11" t="s">
        <v>34</v>
      </c>
      <c r="F11" t="s">
        <v>35</v>
      </c>
      <c r="G11" t="s">
        <v>36</v>
      </c>
      <c r="H11" s="3" t="str">
        <f>HYPERLINK("https://www.avito.ru/valday/uslugi/priem_loma_tsvetnyh_metallov_8023592145","Прием лома цветных металлов")</f>
      </c>
      <c r="I11" t="s">
        <v>65</v>
      </c>
      <c r="J11" t="s">
        <v>38</v>
      </c>
      <c r="K11" t="s">
        <v>39</v>
      </c>
      <c r="L11">
        <v>4</v>
      </c>
      <c r="M11" t="s">
        <v>40</v>
      </c>
      <c r="N11">
        <v>352</v>
      </c>
      <c r="O11" s="4">
        <v>0.2812</v>
      </c>
      <c r="P11">
        <v>99</v>
      </c>
      <c r="Q11" s="5">
        <v>4.84</v>
      </c>
      <c r="R11" s="4">
        <v>0.0202</v>
      </c>
      <c r="S11">
        <v>94</v>
      </c>
      <c r="T11">
        <v>2</v>
      </c>
      <c r="U11">
        <v>1</v>
      </c>
      <c r="V11">
        <v>1</v>
      </c>
      <c r="W11">
        <v>0</v>
      </c>
      <c r="X11">
        <v>0</v>
      </c>
      <c r="Y11" s="5">
        <v>239.7</v>
      </c>
      <c r="Z11">
        <v>1</v>
      </c>
      <c r="AA11" s="5">
        <v>479.4</v>
      </c>
      <c r="AB11" s="5">
        <v>0</v>
      </c>
      <c r="AC11" s="5">
        <v>479.4</v>
      </c>
      <c r="AD11" s="5">
        <v>0</v>
      </c>
      <c r="AE11" s="5">
        <v>0</v>
      </c>
    </row>
    <row r="12">
      <c r="A12" s="2" t="str">
        <f>HYPERLINK("https://www.avito.ru/sankt-peterburg/uslugi/priem_akkumulyatorov_ot_avto_7671561715","7671561715")</f>
      </c>
      <c r="B12" t="s">
        <v>55</v>
      </c>
      <c r="C12" t="s">
        <v>56</v>
      </c>
      <c r="D12" t="s">
        <v>66</v>
      </c>
      <c r="E12" t="s">
        <v>34</v>
      </c>
      <c r="F12" t="s">
        <v>35</v>
      </c>
      <c r="G12" t="s">
        <v>36</v>
      </c>
      <c r="H12" s="3" t="str">
        <f>HYPERLINK("https://www.avito.ru/sankt-peterburg/uslugi/priem_akkumulyatorov_ot_avto_7671561715","Приём аккумуляторов от авто")</f>
      </c>
      <c r="I12" t="s">
        <v>67</v>
      </c>
      <c r="J12" t="s">
        <v>68</v>
      </c>
      <c r="K12" t="s">
        <v>69</v>
      </c>
      <c r="L12">
        <v>194</v>
      </c>
      <c r="M12" t="s">
        <v>40</v>
      </c>
      <c r="N12">
        <v>435</v>
      </c>
      <c r="O12" s="4">
        <v>0.2137</v>
      </c>
      <c r="P12">
        <v>93</v>
      </c>
      <c r="Q12" s="5">
        <v>64.58</v>
      </c>
      <c r="R12" s="4">
        <v>0.0752</v>
      </c>
      <c r="S12">
        <v>90</v>
      </c>
      <c r="T12">
        <v>7</v>
      </c>
      <c r="U12">
        <v>3</v>
      </c>
      <c r="V12">
        <v>4</v>
      </c>
      <c r="W12">
        <v>0</v>
      </c>
      <c r="X12">
        <v>0</v>
      </c>
      <c r="Y12" s="5">
        <v>858.05</v>
      </c>
      <c r="Z12">
        <v>0</v>
      </c>
      <c r="AA12" s="5">
        <v>6006.4</v>
      </c>
      <c r="AB12" s="5">
        <v>0</v>
      </c>
      <c r="AC12" s="5">
        <v>6006.4</v>
      </c>
      <c r="AD12" s="5">
        <v>0</v>
      </c>
      <c r="AE12" s="5">
        <v>0</v>
      </c>
    </row>
    <row r="13">
      <c r="A13" s="2" t="str">
        <f>HYPERLINK("https://www.avito.ru/borovichi/uslugi/priem_loma_tsvetnyh_metallov_8023351436","8023351436")</f>
      </c>
      <c r="B13" t="s">
        <v>48</v>
      </c>
      <c r="C13" t="s">
        <v>70</v>
      </c>
      <c r="D13" t="s">
        <v>71</v>
      </c>
      <c r="E13" t="s">
        <v>34</v>
      </c>
      <c r="F13" t="s">
        <v>35</v>
      </c>
      <c r="G13" t="s">
        <v>36</v>
      </c>
      <c r="H13" s="3" t="str">
        <f>HYPERLINK("https://www.avito.ru/borovichi/uslugi/priem_loma_tsvetnyh_metallov_8023351436","Прием лома цветных металлов")</f>
      </c>
      <c r="I13" t="s">
        <v>47</v>
      </c>
      <c r="J13" t="s">
        <v>38</v>
      </c>
      <c r="K13" t="s">
        <v>39</v>
      </c>
      <c r="L13">
        <v>4</v>
      </c>
      <c r="M13" t="s">
        <v>40</v>
      </c>
      <c r="N13">
        <v>444</v>
      </c>
      <c r="O13" s="4">
        <v>0.2094</v>
      </c>
      <c r="P13">
        <v>93</v>
      </c>
      <c r="Q13" s="5">
        <v>4.82</v>
      </c>
      <c r="R13" s="4">
        <v>0.0107</v>
      </c>
      <c r="S13">
        <v>88</v>
      </c>
      <c r="T13">
        <v>1</v>
      </c>
      <c r="U13">
        <v>1</v>
      </c>
      <c r="V13">
        <v>0</v>
      </c>
      <c r="W13">
        <v>0</v>
      </c>
      <c r="X13">
        <v>0</v>
      </c>
      <c r="Y13" s="5">
        <v>448.8</v>
      </c>
      <c r="Z13">
        <v>2</v>
      </c>
      <c r="AA13" s="5">
        <v>448.8</v>
      </c>
      <c r="AB13" s="5">
        <v>0</v>
      </c>
      <c r="AC13" s="5">
        <v>448.8</v>
      </c>
      <c r="AD13" s="5">
        <v>0</v>
      </c>
      <c r="AE13" s="5">
        <v>0</v>
      </c>
    </row>
    <row r="14">
      <c r="A14" s="2" t="str">
        <f>HYPERLINK("https://www.avito.ru/valday/uslugi/priem_metalloloma_priem_chernogo_loma_8023680622","8023680622")</f>
      </c>
      <c r="B14" t="s">
        <v>48</v>
      </c>
      <c r="C14" t="s">
        <v>63</v>
      </c>
      <c r="D14" t="s">
        <v>64</v>
      </c>
      <c r="E14" t="s">
        <v>34</v>
      </c>
      <c r="F14" t="s">
        <v>35</v>
      </c>
      <c r="G14" t="s">
        <v>36</v>
      </c>
      <c r="H14" s="3" t="str">
        <f>HYPERLINK("https://www.avito.ru/valday/uslugi/priem_metalloloma_priem_chernogo_loma_8023680622","Прием металлолома / Прием черного лома")</f>
      </c>
      <c r="I14" t="s">
        <v>72</v>
      </c>
      <c r="J14" t="s">
        <v>38</v>
      </c>
      <c r="K14" t="s">
        <v>39</v>
      </c>
      <c r="L14">
        <v>4</v>
      </c>
      <c r="M14" t="s">
        <v>40</v>
      </c>
      <c r="N14">
        <v>360</v>
      </c>
      <c r="O14" s="4">
        <v>0.2583</v>
      </c>
      <c r="P14">
        <v>93</v>
      </c>
      <c r="Q14" s="5">
        <v>4.82</v>
      </c>
      <c r="R14" s="4">
        <v>0.0107</v>
      </c>
      <c r="S14">
        <v>88</v>
      </c>
      <c r="T14">
        <v>1</v>
      </c>
      <c r="U14">
        <v>0</v>
      </c>
      <c r="V14">
        <v>1</v>
      </c>
      <c r="W14">
        <v>0</v>
      </c>
      <c r="X14">
        <v>0</v>
      </c>
      <c r="Y14" s="5">
        <v>448.8</v>
      </c>
      <c r="Z14">
        <v>3</v>
      </c>
      <c r="AA14" s="5">
        <v>448.8</v>
      </c>
      <c r="AB14" s="5">
        <v>0</v>
      </c>
      <c r="AC14" s="5">
        <v>448.8</v>
      </c>
      <c r="AD14" s="5">
        <v>0</v>
      </c>
      <c r="AE14" s="5">
        <v>0</v>
      </c>
    </row>
    <row r="15">
      <c r="A15" s="2" t="str">
        <f>HYPERLINK("https://www.avito.ru/luga/uslugi/priem_tsvetnogo_metalloloma_8023863256","8023863256")</f>
      </c>
      <c r="B15" t="s">
        <v>73</v>
      </c>
      <c r="C15" t="s">
        <v>74</v>
      </c>
      <c r="D15" t="s">
        <v>75</v>
      </c>
      <c r="E15" t="s">
        <v>34</v>
      </c>
      <c r="F15" t="s">
        <v>35</v>
      </c>
      <c r="G15" t="s">
        <v>36</v>
      </c>
      <c r="H15" s="3" t="str">
        <f>HYPERLINK("https://www.avito.ru/luga/uslugi/priem_tsvetnogo_metalloloma_8023863256","Прием цветного металлолома")</f>
      </c>
      <c r="I15" t="s">
        <v>41</v>
      </c>
      <c r="J15" t="s">
        <v>38</v>
      </c>
      <c r="K15" t="s">
        <v>39</v>
      </c>
      <c r="L15">
        <v>4</v>
      </c>
      <c r="M15" t="s">
        <v>40</v>
      </c>
      <c r="N15">
        <v>529</v>
      </c>
      <c r="O15" s="4">
        <v>0.1663</v>
      </c>
      <c r="P15">
        <v>88</v>
      </c>
      <c r="Q15" s="5">
        <v>17.42</v>
      </c>
      <c r="R15" s="4">
        <v>0.0227</v>
      </c>
      <c r="S15">
        <v>82</v>
      </c>
      <c r="T15">
        <v>2</v>
      </c>
      <c r="U15">
        <v>1</v>
      </c>
      <c r="V15">
        <v>1</v>
      </c>
      <c r="W15">
        <v>0</v>
      </c>
      <c r="X15">
        <v>0</v>
      </c>
      <c r="Y15" s="5">
        <v>766.7</v>
      </c>
      <c r="Z15">
        <v>5</v>
      </c>
      <c r="AA15" s="5">
        <v>1533.4</v>
      </c>
      <c r="AB15" s="5">
        <v>0</v>
      </c>
      <c r="AC15" s="5">
        <v>1533.4</v>
      </c>
      <c r="AD15" s="5">
        <v>0</v>
      </c>
      <c r="AE15" s="5">
        <v>0</v>
      </c>
    </row>
    <row r="16">
      <c r="A16" s="2" t="str">
        <f>HYPERLINK("https://www.avito.ru/pskov/uslugi/priem_metalloloma_priem_tsvetnogo_loma_8023621404","8023621404")</f>
      </c>
      <c r="B16" t="s">
        <v>31</v>
      </c>
      <c r="C16" t="s">
        <v>76</v>
      </c>
      <c r="D16" t="s">
        <v>77</v>
      </c>
      <c r="E16" t="s">
        <v>34</v>
      </c>
      <c r="F16" t="s">
        <v>35</v>
      </c>
      <c r="G16" t="s">
        <v>36</v>
      </c>
      <c r="H16" s="3" t="str">
        <f>HYPERLINK("https://www.avito.ru/pskov/uslugi/priem_metalloloma_priem_tsvetnogo_loma_8023621404","Прием металлолома / Прием цветного лома")</f>
      </c>
      <c r="I16" t="s">
        <v>47</v>
      </c>
      <c r="J16" t="s">
        <v>38</v>
      </c>
      <c r="K16" t="s">
        <v>39</v>
      </c>
      <c r="L16">
        <v>4</v>
      </c>
      <c r="M16" t="s">
        <v>40</v>
      </c>
      <c r="N16">
        <v>389</v>
      </c>
      <c r="O16" s="4">
        <v>0.2082</v>
      </c>
      <c r="P16">
        <v>81</v>
      </c>
      <c r="Q16" s="5">
        <v>4.72</v>
      </c>
      <c r="R16" s="4">
        <v>0.074</v>
      </c>
      <c r="S16">
        <v>75</v>
      </c>
      <c r="T16">
        <v>6</v>
      </c>
      <c r="U16">
        <v>4</v>
      </c>
      <c r="V16">
        <v>2</v>
      </c>
      <c r="W16">
        <v>0</v>
      </c>
      <c r="X16">
        <v>0</v>
      </c>
      <c r="Y16" s="5">
        <v>63.75</v>
      </c>
      <c r="Z16">
        <v>3</v>
      </c>
      <c r="AA16" s="5">
        <v>382.5</v>
      </c>
      <c r="AB16" s="5">
        <v>0</v>
      </c>
      <c r="AC16" s="5">
        <v>382.5</v>
      </c>
      <c r="AD16" s="5">
        <v>0</v>
      </c>
      <c r="AE16" s="5">
        <v>0</v>
      </c>
    </row>
    <row r="17">
      <c r="A17" s="2" t="str">
        <f>HYPERLINK("https://www.avito.ru/staraya_russa/uslugi/priem_tsvetnogo_metalloloma_8023280796","8023280796")</f>
      </c>
      <c r="B17" t="s">
        <v>48</v>
      </c>
      <c r="C17" t="s">
        <v>49</v>
      </c>
      <c r="D17" t="s">
        <v>50</v>
      </c>
      <c r="E17" t="s">
        <v>34</v>
      </c>
      <c r="F17" t="s">
        <v>35</v>
      </c>
      <c r="G17" t="s">
        <v>36</v>
      </c>
      <c r="H17" s="3" t="str">
        <f>HYPERLINK("https://www.avito.ru/staraya_russa/uslugi/priem_tsvetnogo_metalloloma_8023280796","Прием цветного металлолома")</f>
      </c>
      <c r="I17" t="s">
        <v>41</v>
      </c>
      <c r="J17" t="s">
        <v>38</v>
      </c>
      <c r="K17" t="s">
        <v>39</v>
      </c>
      <c r="L17">
        <v>4</v>
      </c>
      <c r="M17" t="s">
        <v>40</v>
      </c>
      <c r="N17">
        <v>281</v>
      </c>
      <c r="O17" s="4">
        <v>0.2811</v>
      </c>
      <c r="P17">
        <v>79</v>
      </c>
      <c r="Q17" s="5">
        <v>4.9</v>
      </c>
      <c r="R17" s="4">
        <v>0</v>
      </c>
      <c r="S17">
        <v>76</v>
      </c>
      <c r="T17">
        <v>0</v>
      </c>
      <c r="U17">
        <v>0</v>
      </c>
      <c r="V17">
        <v>0</v>
      </c>
      <c r="W17">
        <v>0</v>
      </c>
      <c r="X17">
        <v>0</v>
      </c>
      <c r="Y17" s="5" t="s">
        <v>40</v>
      </c>
      <c r="Z17">
        <v>1</v>
      </c>
      <c r="AA17" s="5">
        <v>387.6</v>
      </c>
      <c r="AB17" s="5">
        <v>0</v>
      </c>
      <c r="AC17" s="5">
        <v>387.6</v>
      </c>
      <c r="AD17" s="5">
        <v>0</v>
      </c>
      <c r="AE17" s="5">
        <v>0</v>
      </c>
    </row>
    <row r="18">
      <c r="A18" s="2" t="str">
        <f>HYPERLINK("https://www.avito.ru/luga/uslugi/priem_metalloloma_priem_chernogo_loma_opt_8023431202","8023431202")</f>
      </c>
      <c r="B18" t="s">
        <v>73</v>
      </c>
      <c r="C18" t="s">
        <v>74</v>
      </c>
      <c r="D18" t="s">
        <v>75</v>
      </c>
      <c r="E18" t="s">
        <v>34</v>
      </c>
      <c r="F18" t="s">
        <v>35</v>
      </c>
      <c r="G18" t="s">
        <v>36</v>
      </c>
      <c r="H18" s="3" t="str">
        <f>HYPERLINK("https://www.avito.ru/luga/uslugi/priem_metalloloma_priem_chernogo_loma_opt_8023431202","Прием металлолома / Прием черного лома опт")</f>
      </c>
      <c r="I18" t="s">
        <v>37</v>
      </c>
      <c r="J18" t="s">
        <v>38</v>
      </c>
      <c r="K18" t="s">
        <v>39</v>
      </c>
      <c r="L18">
        <v>4</v>
      </c>
      <c r="M18" t="s">
        <v>40</v>
      </c>
      <c r="N18">
        <v>365</v>
      </c>
      <c r="O18" s="4">
        <v>0.2054</v>
      </c>
      <c r="P18">
        <v>75</v>
      </c>
      <c r="Q18" s="5">
        <v>17.45</v>
      </c>
      <c r="R18" s="4">
        <v>0</v>
      </c>
      <c r="S18">
        <v>70</v>
      </c>
      <c r="T18">
        <v>0</v>
      </c>
      <c r="U18">
        <v>0</v>
      </c>
      <c r="V18">
        <v>0</v>
      </c>
      <c r="W18">
        <v>0</v>
      </c>
      <c r="X18">
        <v>0</v>
      </c>
      <c r="Y18" s="5" t="s">
        <v>40</v>
      </c>
      <c r="Z18">
        <v>7</v>
      </c>
      <c r="AA18" s="5">
        <v>1309</v>
      </c>
      <c r="AB18" s="5">
        <v>0</v>
      </c>
      <c r="AC18" s="5">
        <v>1309</v>
      </c>
      <c r="AD18" s="5">
        <v>0</v>
      </c>
      <c r="AE18" s="5">
        <v>0</v>
      </c>
    </row>
    <row r="19">
      <c r="A19" s="2" t="str">
        <f>HYPERLINK("https://www.avito.ru/velikie_luki/uslugi/priem_metalloloma_priem_loma_demontazh_8023603190","8023603190")</f>
      </c>
      <c r="B19" t="s">
        <v>31</v>
      </c>
      <c r="C19" t="s">
        <v>32</v>
      </c>
      <c r="D19" t="s">
        <v>33</v>
      </c>
      <c r="E19" t="s">
        <v>34</v>
      </c>
      <c r="F19" t="s">
        <v>35</v>
      </c>
      <c r="G19" t="s">
        <v>36</v>
      </c>
      <c r="H19" s="3" t="str">
        <f>HYPERLINK("https://www.avito.ru/velikie_luki/uslugi/priem_metalloloma_priem_loma_demontazh_8023603190","Прием металлолома / Прием лома / Демонтаж")</f>
      </c>
      <c r="I19" t="s">
        <v>78</v>
      </c>
      <c r="J19" t="s">
        <v>38</v>
      </c>
      <c r="K19" t="s">
        <v>39</v>
      </c>
      <c r="L19">
        <v>4</v>
      </c>
      <c r="M19" t="s">
        <v>40</v>
      </c>
      <c r="N19">
        <v>386</v>
      </c>
      <c r="O19" s="4">
        <v>0.1943</v>
      </c>
      <c r="P19">
        <v>75</v>
      </c>
      <c r="Q19" s="5">
        <v>4.89</v>
      </c>
      <c r="R19" s="4">
        <v>0.04</v>
      </c>
      <c r="S19">
        <v>72</v>
      </c>
      <c r="T19">
        <v>3</v>
      </c>
      <c r="U19">
        <v>2</v>
      </c>
      <c r="V19">
        <v>1</v>
      </c>
      <c r="W19">
        <v>0</v>
      </c>
      <c r="X19">
        <v>0</v>
      </c>
      <c r="Y19" s="5">
        <v>122.4</v>
      </c>
      <c r="Z19">
        <v>6</v>
      </c>
      <c r="AA19" s="5">
        <v>367.2</v>
      </c>
      <c r="AB19" s="5">
        <v>0</v>
      </c>
      <c r="AC19" s="5">
        <v>367.2</v>
      </c>
      <c r="AD19" s="5">
        <v>0</v>
      </c>
      <c r="AE19" s="5">
        <v>0</v>
      </c>
    </row>
    <row r="20">
      <c r="A20" s="2" t="str">
        <f>HYPERLINK("https://www.avito.ru/sankt-peterburg/uslugi/priem_tsvetnogo_metalla_skupka_tsvetnogo_metalla_7703868215","7703868215")</f>
      </c>
      <c r="B20" t="s">
        <v>55</v>
      </c>
      <c r="C20" t="s">
        <v>56</v>
      </c>
      <c r="D20" t="s">
        <v>79</v>
      </c>
      <c r="E20" t="s">
        <v>34</v>
      </c>
      <c r="F20" t="s">
        <v>35</v>
      </c>
      <c r="G20" t="s">
        <v>36</v>
      </c>
      <c r="H20" s="3" t="str">
        <f>HYPERLINK("https://www.avito.ru/sankt-peterburg/uslugi/priem_tsvetnogo_metalla_skupka_tsvetnogo_metalla_7703868215","Прием цветного металла / скупка цветного металла")</f>
      </c>
      <c r="I20" t="s">
        <v>80</v>
      </c>
      <c r="J20" t="s">
        <v>81</v>
      </c>
      <c r="K20" t="s">
        <v>60</v>
      </c>
      <c r="L20">
        <v>177</v>
      </c>
      <c r="M20" t="s">
        <v>40</v>
      </c>
      <c r="N20">
        <v>370</v>
      </c>
      <c r="O20" s="4">
        <v>0.1783</v>
      </c>
      <c r="P20">
        <v>66</v>
      </c>
      <c r="Q20" s="5">
        <v>97.99</v>
      </c>
      <c r="R20" s="4">
        <v>0.0909</v>
      </c>
      <c r="S20">
        <v>65</v>
      </c>
      <c r="T20">
        <v>6</v>
      </c>
      <c r="U20">
        <v>4</v>
      </c>
      <c r="V20">
        <v>2</v>
      </c>
      <c r="W20">
        <v>0</v>
      </c>
      <c r="X20">
        <v>0</v>
      </c>
      <c r="Y20" s="5">
        <v>1077.93</v>
      </c>
      <c r="Z20">
        <v>0</v>
      </c>
      <c r="AA20" s="5">
        <v>6467.6</v>
      </c>
      <c r="AB20" s="5">
        <v>0</v>
      </c>
      <c r="AC20" s="5">
        <v>6467.6</v>
      </c>
      <c r="AD20" s="5">
        <v>0</v>
      </c>
      <c r="AE20" s="5">
        <v>0</v>
      </c>
    </row>
    <row r="21">
      <c r="A21" s="2" t="str">
        <f>HYPERLINK("https://www.avito.ru/gryazovets/uslugi/priem_metalloloma_priem_chernogo_loma_opt_8023702295","8023702295")</f>
      </c>
      <c r="B21" t="s">
        <v>42</v>
      </c>
      <c r="C21" t="s">
        <v>82</v>
      </c>
      <c r="D21" t="s">
        <v>83</v>
      </c>
      <c r="E21" t="s">
        <v>34</v>
      </c>
      <c r="F21" t="s">
        <v>35</v>
      </c>
      <c r="G21" t="s">
        <v>36</v>
      </c>
      <c r="H21" s="3" t="str">
        <f>HYPERLINK("https://www.avito.ru/gryazovets/uslugi/priem_metalloloma_priem_chernogo_loma_opt_8023702295","Прием металлолома / Прием черного лома опт")</f>
      </c>
      <c r="I21" t="s">
        <v>72</v>
      </c>
      <c r="J21" t="s">
        <v>38</v>
      </c>
      <c r="K21" t="s">
        <v>39</v>
      </c>
      <c r="L21">
        <v>4</v>
      </c>
      <c r="M21" t="s">
        <v>40</v>
      </c>
      <c r="N21">
        <v>154</v>
      </c>
      <c r="O21" s="4">
        <v>0.4025</v>
      </c>
      <c r="P21">
        <v>62</v>
      </c>
      <c r="Q21" s="5">
        <v>4.85</v>
      </c>
      <c r="R21" s="4">
        <v>0.0161</v>
      </c>
      <c r="S21">
        <v>59</v>
      </c>
      <c r="T21">
        <v>1</v>
      </c>
      <c r="U21">
        <v>0</v>
      </c>
      <c r="V21">
        <v>1</v>
      </c>
      <c r="W21">
        <v>0</v>
      </c>
      <c r="X21">
        <v>0</v>
      </c>
      <c r="Y21" s="5">
        <v>300.9</v>
      </c>
      <c r="Z21">
        <v>0</v>
      </c>
      <c r="AA21" s="5">
        <v>300.9</v>
      </c>
      <c r="AB21" s="5">
        <v>0</v>
      </c>
      <c r="AC21" s="5">
        <v>300.9</v>
      </c>
      <c r="AD21" s="5">
        <v>0</v>
      </c>
      <c r="AE21" s="5">
        <v>0</v>
      </c>
    </row>
    <row r="22">
      <c r="A22" s="2" t="str">
        <f>HYPERLINK("https://www.avito.ru/sankt-peterburg/uslugi/priem_i_vyvoz_metalloloma_sdat_lom_8023060349","8023060349")</f>
      </c>
      <c r="B22" t="s">
        <v>55</v>
      </c>
      <c r="C22" t="s">
        <v>56</v>
      </c>
      <c r="D22" t="s">
        <v>84</v>
      </c>
      <c r="E22" t="s">
        <v>34</v>
      </c>
      <c r="F22" t="s">
        <v>35</v>
      </c>
      <c r="G22" t="s">
        <v>36</v>
      </c>
      <c r="H22" s="3" t="str">
        <f>HYPERLINK("https://www.avito.ru/sankt-peterburg/uslugi/priem_i_vyvoz_metalloloma_sdat_lom_8023060349","Прием и вывоз металлолома / Сдать лом")</f>
      </c>
      <c r="I22" t="s">
        <v>85</v>
      </c>
      <c r="J22" t="s">
        <v>86</v>
      </c>
      <c r="K22" t="s">
        <v>87</v>
      </c>
      <c r="L22">
        <v>7</v>
      </c>
      <c r="M22" t="s">
        <v>40</v>
      </c>
      <c r="N22">
        <v>696</v>
      </c>
      <c r="O22" s="4">
        <v>0.0876</v>
      </c>
      <c r="P22">
        <v>61</v>
      </c>
      <c r="Q22" s="5">
        <v>126.4</v>
      </c>
      <c r="R22" s="4">
        <v>0.2459</v>
      </c>
      <c r="S22">
        <v>54</v>
      </c>
      <c r="T22">
        <v>15</v>
      </c>
      <c r="U22">
        <v>6</v>
      </c>
      <c r="V22">
        <v>9</v>
      </c>
      <c r="W22">
        <v>0</v>
      </c>
      <c r="X22">
        <v>0</v>
      </c>
      <c r="Y22" s="5">
        <v>514.04</v>
      </c>
      <c r="Z22">
        <v>5</v>
      </c>
      <c r="AA22" s="5">
        <v>7710.6</v>
      </c>
      <c r="AB22" s="5">
        <v>0</v>
      </c>
      <c r="AC22" s="5">
        <v>7710.6</v>
      </c>
      <c r="AD22" s="5">
        <v>0</v>
      </c>
      <c r="AE22" s="5">
        <v>0</v>
      </c>
    </row>
    <row r="23">
      <c r="A23" s="2" t="str">
        <f>HYPERLINK("https://www.avito.ru/petrozavodsk/uslugi/priem_tsvetnogo_metalloloma_8023531905","8023531905")</f>
      </c>
      <c r="B23" t="s">
        <v>51</v>
      </c>
      <c r="C23" t="s">
        <v>52</v>
      </c>
      <c r="D23" t="s">
        <v>53</v>
      </c>
      <c r="E23" t="s">
        <v>34</v>
      </c>
      <c r="F23" t="s">
        <v>35</v>
      </c>
      <c r="G23" t="s">
        <v>36</v>
      </c>
      <c r="H23" s="3" t="str">
        <f>HYPERLINK("https://www.avito.ru/petrozavodsk/uslugi/priem_tsvetnogo_metalloloma_8023531905","Прием цветного металлолома")</f>
      </c>
      <c r="I23" t="s">
        <v>72</v>
      </c>
      <c r="J23" t="s">
        <v>38</v>
      </c>
      <c r="K23" t="s">
        <v>39</v>
      </c>
      <c r="L23">
        <v>4</v>
      </c>
      <c r="M23" t="s">
        <v>40</v>
      </c>
      <c r="N23">
        <v>363</v>
      </c>
      <c r="O23" s="4">
        <v>0.1652</v>
      </c>
      <c r="P23">
        <v>60</v>
      </c>
      <c r="Q23" s="5">
        <v>4.42</v>
      </c>
      <c r="R23" s="4">
        <v>0.0666</v>
      </c>
      <c r="S23">
        <v>52</v>
      </c>
      <c r="T23">
        <v>4</v>
      </c>
      <c r="U23">
        <v>2</v>
      </c>
      <c r="V23">
        <v>2</v>
      </c>
      <c r="W23">
        <v>0</v>
      </c>
      <c r="X23">
        <v>0</v>
      </c>
      <c r="Y23" s="5">
        <v>66.3</v>
      </c>
      <c r="Z23">
        <v>0</v>
      </c>
      <c r="AA23" s="5">
        <v>265.2</v>
      </c>
      <c r="AB23" s="5">
        <v>0</v>
      </c>
      <c r="AC23" s="5">
        <v>265.2</v>
      </c>
      <c r="AD23" s="5">
        <v>0</v>
      </c>
      <c r="AE23" s="5">
        <v>0</v>
      </c>
    </row>
    <row r="24">
      <c r="A24" s="2" t="str">
        <f>HYPERLINK("https://www.avito.ru/sankt-peterburg/uslugi/priem_akb_sdat_akb_7543139828","7543139828")</f>
      </c>
      <c r="B24" t="s">
        <v>55</v>
      </c>
      <c r="C24" t="s">
        <v>56</v>
      </c>
      <c r="D24" t="s">
        <v>88</v>
      </c>
      <c r="E24" t="s">
        <v>34</v>
      </c>
      <c r="F24" t="s">
        <v>35</v>
      </c>
      <c r="G24" t="s">
        <v>36</v>
      </c>
      <c r="H24" s="3" t="str">
        <f>HYPERLINK("https://www.avito.ru/sankt-peterburg/uslugi/priem_akb_sdat_akb_7543139828","Прием АКБ / Сдать АКБ")</f>
      </c>
      <c r="I24" t="s">
        <v>89</v>
      </c>
      <c r="J24" t="s">
        <v>59</v>
      </c>
      <c r="K24" t="s">
        <v>90</v>
      </c>
      <c r="L24">
        <v>246</v>
      </c>
      <c r="M24" t="s">
        <v>40</v>
      </c>
      <c r="N24">
        <v>187</v>
      </c>
      <c r="O24" s="4">
        <v>0.278</v>
      </c>
      <c r="P24">
        <v>52</v>
      </c>
      <c r="Q24" s="5">
        <v>38.86</v>
      </c>
      <c r="R24" s="4">
        <v>0.0769</v>
      </c>
      <c r="S24">
        <v>50</v>
      </c>
      <c r="T24">
        <v>4</v>
      </c>
      <c r="U24">
        <v>1</v>
      </c>
      <c r="V24">
        <v>3</v>
      </c>
      <c r="W24">
        <v>0</v>
      </c>
      <c r="X24">
        <v>0</v>
      </c>
      <c r="Y24" s="5">
        <v>505.25</v>
      </c>
      <c r="Z24">
        <v>1</v>
      </c>
      <c r="AA24" s="5">
        <v>2021</v>
      </c>
      <c r="AB24" s="5">
        <v>0</v>
      </c>
      <c r="AC24" s="5">
        <v>2021</v>
      </c>
      <c r="AD24" s="5">
        <v>0</v>
      </c>
      <c r="AE24" s="5">
        <v>0</v>
      </c>
    </row>
    <row r="25">
      <c r="A25" s="2" t="str">
        <f>HYPERLINK("https://www.avito.ru/pskov/uslugi/priem_metalloloma_priem_chernogo_loma_8023637444","8023637444")</f>
      </c>
      <c r="B25" t="s">
        <v>31</v>
      </c>
      <c r="C25" t="s">
        <v>76</v>
      </c>
      <c r="D25" t="s">
        <v>91</v>
      </c>
      <c r="E25" t="s">
        <v>34</v>
      </c>
      <c r="F25" t="s">
        <v>35</v>
      </c>
      <c r="G25" t="s">
        <v>36</v>
      </c>
      <c r="H25" s="3" t="str">
        <f>HYPERLINK("https://www.avito.ru/pskov/uslugi/priem_metalloloma_priem_chernogo_loma_8023637444","Прием металлолома / Прием черного лома")</f>
      </c>
      <c r="I25" t="s">
        <v>41</v>
      </c>
      <c r="J25" t="s">
        <v>38</v>
      </c>
      <c r="K25" t="s">
        <v>39</v>
      </c>
      <c r="L25">
        <v>4</v>
      </c>
      <c r="M25" t="s">
        <v>40</v>
      </c>
      <c r="N25">
        <v>227</v>
      </c>
      <c r="O25" s="4">
        <v>0.2202</v>
      </c>
      <c r="P25">
        <v>50</v>
      </c>
      <c r="Q25" s="5">
        <v>4.79</v>
      </c>
      <c r="R25" s="4">
        <v>0.02</v>
      </c>
      <c r="S25">
        <v>47</v>
      </c>
      <c r="T25">
        <v>1</v>
      </c>
      <c r="U25">
        <v>0</v>
      </c>
      <c r="V25">
        <v>1</v>
      </c>
      <c r="W25">
        <v>0</v>
      </c>
      <c r="X25">
        <v>0</v>
      </c>
      <c r="Y25" s="5">
        <v>239.7</v>
      </c>
      <c r="Z25">
        <v>3</v>
      </c>
      <c r="AA25" s="5">
        <v>239.7</v>
      </c>
      <c r="AB25" s="5">
        <v>0</v>
      </c>
      <c r="AC25" s="5">
        <v>239.7</v>
      </c>
      <c r="AD25" s="5">
        <v>0</v>
      </c>
      <c r="AE25" s="5">
        <v>0</v>
      </c>
    </row>
    <row r="26">
      <c r="A26" s="2" t="str">
        <f>HYPERLINK("https://www.avito.ru/cherepovets/uslugi/priem_loma_tsvetnyh_metallov_8023543552","8023543552")</f>
      </c>
      <c r="B26" t="s">
        <v>42</v>
      </c>
      <c r="C26" t="s">
        <v>92</v>
      </c>
      <c r="D26" t="s">
        <v>93</v>
      </c>
      <c r="E26" t="s">
        <v>34</v>
      </c>
      <c r="F26" t="s">
        <v>35</v>
      </c>
      <c r="G26" t="s">
        <v>36</v>
      </c>
      <c r="H26" s="3" t="str">
        <f>HYPERLINK("https://www.avito.ru/cherepovets/uslugi/priem_loma_tsvetnyh_metallov_8023543552","Прием лома цветных металлов")</f>
      </c>
      <c r="I26" t="s">
        <v>72</v>
      </c>
      <c r="J26" t="s">
        <v>38</v>
      </c>
      <c r="K26" t="s">
        <v>39</v>
      </c>
      <c r="L26">
        <v>4</v>
      </c>
      <c r="M26" t="s">
        <v>40</v>
      </c>
      <c r="N26">
        <v>249</v>
      </c>
      <c r="O26" s="4">
        <v>0.1887</v>
      </c>
      <c r="P26">
        <v>47</v>
      </c>
      <c r="Q26" s="5">
        <v>4.77</v>
      </c>
      <c r="R26" s="4">
        <v>0.0212</v>
      </c>
      <c r="S26">
        <v>44</v>
      </c>
      <c r="T26">
        <v>1</v>
      </c>
      <c r="U26">
        <v>0</v>
      </c>
      <c r="V26">
        <v>1</v>
      </c>
      <c r="W26">
        <v>0</v>
      </c>
      <c r="X26">
        <v>0</v>
      </c>
      <c r="Y26" s="5">
        <v>224.4</v>
      </c>
      <c r="Z26">
        <v>0</v>
      </c>
      <c r="AA26" s="5">
        <v>224.4</v>
      </c>
      <c r="AB26" s="5">
        <v>0</v>
      </c>
      <c r="AC26" s="5">
        <v>224.4</v>
      </c>
      <c r="AD26" s="5">
        <v>0</v>
      </c>
      <c r="AE26" s="5">
        <v>0</v>
      </c>
    </row>
    <row r="27">
      <c r="A27" s="2" t="str">
        <f>HYPERLINK("https://www.avito.ru/sankt-peterburg/uslugi/priem_i_vyvoz_metalloloma_sdat_lom_8023868562","8023868562")</f>
      </c>
      <c r="B27" t="s">
        <v>55</v>
      </c>
      <c r="C27" t="s">
        <v>56</v>
      </c>
      <c r="D27" t="s">
        <v>94</v>
      </c>
      <c r="E27" t="s">
        <v>34</v>
      </c>
      <c r="F27" t="s">
        <v>35</v>
      </c>
      <c r="G27" t="s">
        <v>36</v>
      </c>
      <c r="H27" s="3" t="str">
        <f>HYPERLINK("https://www.avito.ru/sankt-peterburg/uslugi/priem_i_vyvoz_metalloloma_sdat_lom_8023868562","Прием и вывоз металлолома / Сдать лом")</f>
      </c>
      <c r="I27" t="s">
        <v>95</v>
      </c>
      <c r="J27" t="s">
        <v>96</v>
      </c>
      <c r="K27" t="s">
        <v>69</v>
      </c>
      <c r="L27">
        <v>8</v>
      </c>
      <c r="M27" t="s">
        <v>40</v>
      </c>
      <c r="N27">
        <v>517</v>
      </c>
      <c r="O27" s="4">
        <v>0.0909</v>
      </c>
      <c r="P27">
        <v>47</v>
      </c>
      <c r="Q27" s="5">
        <v>106.24</v>
      </c>
      <c r="R27" s="4">
        <v>0.1276</v>
      </c>
      <c r="S27">
        <v>45</v>
      </c>
      <c r="T27">
        <v>6</v>
      </c>
      <c r="U27">
        <v>2</v>
      </c>
      <c r="V27">
        <v>4</v>
      </c>
      <c r="W27">
        <v>0</v>
      </c>
      <c r="X27">
        <v>0</v>
      </c>
      <c r="Y27" s="5">
        <v>832.23</v>
      </c>
      <c r="Z27">
        <v>2</v>
      </c>
      <c r="AA27" s="5">
        <v>4993.4</v>
      </c>
      <c r="AB27" s="5">
        <v>0</v>
      </c>
      <c r="AC27" s="5">
        <v>4993.4</v>
      </c>
      <c r="AD27" s="5">
        <v>0</v>
      </c>
      <c r="AE27" s="5">
        <v>0</v>
      </c>
    </row>
    <row r="28">
      <c r="A28" s="2" t="str">
        <f>HYPERLINK("https://www.avito.ru/sankt-peterburg/uslugi/priem_metalloloma_priem_tsvetnogo_loma_8023715667","8023715667")</f>
      </c>
      <c r="B28" t="s">
        <v>55</v>
      </c>
      <c r="C28" t="s">
        <v>56</v>
      </c>
      <c r="D28" t="s">
        <v>97</v>
      </c>
      <c r="E28" t="s">
        <v>34</v>
      </c>
      <c r="F28" t="s">
        <v>35</v>
      </c>
      <c r="G28" t="s">
        <v>36</v>
      </c>
      <c r="H28" s="3" t="str">
        <f>HYPERLINK("https://www.avito.ru/sankt-peterburg/uslugi/priem_metalloloma_priem_tsvetnogo_loma_8023715667","Прием металлолома / Прием цветного лома")</f>
      </c>
      <c r="I28" t="s">
        <v>65</v>
      </c>
      <c r="J28" t="s">
        <v>38</v>
      </c>
      <c r="K28" t="s">
        <v>39</v>
      </c>
      <c r="L28">
        <v>4</v>
      </c>
      <c r="M28" t="s">
        <v>40</v>
      </c>
      <c r="N28">
        <v>289</v>
      </c>
      <c r="O28" s="4">
        <v>0.1591</v>
      </c>
      <c r="P28">
        <v>46</v>
      </c>
      <c r="Q28" s="5">
        <v>19.06</v>
      </c>
      <c r="R28" s="4">
        <v>0.0434</v>
      </c>
      <c r="S28">
        <v>43</v>
      </c>
      <c r="T28">
        <v>2</v>
      </c>
      <c r="U28">
        <v>2</v>
      </c>
      <c r="V28">
        <v>0</v>
      </c>
      <c r="W28">
        <v>0</v>
      </c>
      <c r="X28">
        <v>0</v>
      </c>
      <c r="Y28" s="5">
        <v>438.6</v>
      </c>
      <c r="Z28">
        <v>5</v>
      </c>
      <c r="AA28" s="5">
        <v>877.2</v>
      </c>
      <c r="AB28" s="5">
        <v>0</v>
      </c>
      <c r="AC28" s="5">
        <v>877.2</v>
      </c>
      <c r="AD28" s="5">
        <v>0</v>
      </c>
      <c r="AE28" s="5">
        <v>0</v>
      </c>
    </row>
    <row r="29">
      <c r="A29" s="2" t="str">
        <f>HYPERLINK("https://www.avito.ru/vyborg/uslugi/priem_tsvetnogo_metalloloma_8023487924","8023487924")</f>
      </c>
      <c r="B29" t="s">
        <v>73</v>
      </c>
      <c r="C29" t="s">
        <v>98</v>
      </c>
      <c r="D29" t="s">
        <v>99</v>
      </c>
      <c r="E29" t="s">
        <v>34</v>
      </c>
      <c r="F29" t="s">
        <v>35</v>
      </c>
      <c r="G29" t="s">
        <v>36</v>
      </c>
      <c r="H29" s="3" t="str">
        <f>HYPERLINK("https://www.avito.ru/vyborg/uslugi/priem_tsvetnogo_metalloloma_8023487924","Прием цветного металлолома")</f>
      </c>
      <c r="I29" t="s">
        <v>72</v>
      </c>
      <c r="J29" t="s">
        <v>38</v>
      </c>
      <c r="K29" t="s">
        <v>39</v>
      </c>
      <c r="L29">
        <v>4</v>
      </c>
      <c r="M29" t="s">
        <v>40</v>
      </c>
      <c r="N29">
        <v>284</v>
      </c>
      <c r="O29" s="4">
        <v>0.1584</v>
      </c>
      <c r="P29">
        <v>45</v>
      </c>
      <c r="Q29" s="5">
        <v>17.86</v>
      </c>
      <c r="R29" s="4">
        <v>0.0444</v>
      </c>
      <c r="S29">
        <v>43</v>
      </c>
      <c r="T29">
        <v>2</v>
      </c>
      <c r="U29">
        <v>2</v>
      </c>
      <c r="V29">
        <v>0</v>
      </c>
      <c r="W29">
        <v>0</v>
      </c>
      <c r="X29">
        <v>0</v>
      </c>
      <c r="Y29" s="5">
        <v>402.05</v>
      </c>
      <c r="Z29">
        <v>0</v>
      </c>
      <c r="AA29" s="5">
        <v>804.1</v>
      </c>
      <c r="AB29" s="5">
        <v>0</v>
      </c>
      <c r="AC29" s="5">
        <v>804.1</v>
      </c>
      <c r="AD29" s="5">
        <v>0</v>
      </c>
      <c r="AE29" s="5">
        <v>0</v>
      </c>
    </row>
    <row r="30">
      <c r="A30" s="2" t="str">
        <f>HYPERLINK("https://www.avito.ru/vologodskaya_oblast_sokol/uslugi/priem_tsvetnogo_metalloloma_8023420373","8023420373")</f>
      </c>
      <c r="B30" t="s">
        <v>42</v>
      </c>
      <c r="C30" t="s">
        <v>100</v>
      </c>
      <c r="D30" t="s">
        <v>101</v>
      </c>
      <c r="E30" t="s">
        <v>34</v>
      </c>
      <c r="F30" t="s">
        <v>35</v>
      </c>
      <c r="G30" t="s">
        <v>36</v>
      </c>
      <c r="H30" s="3" t="str">
        <f>HYPERLINK("https://www.avito.ru/vologodskaya_oblast_sokol/uslugi/priem_tsvetnogo_metalloloma_8023420373","Прием цветного металлолома")</f>
      </c>
      <c r="I30" t="s">
        <v>47</v>
      </c>
      <c r="J30" t="s">
        <v>38</v>
      </c>
      <c r="K30" t="s">
        <v>39</v>
      </c>
      <c r="L30">
        <v>4</v>
      </c>
      <c r="M30" t="s">
        <v>40</v>
      </c>
      <c r="N30">
        <v>211</v>
      </c>
      <c r="O30" s="4">
        <v>0.1895</v>
      </c>
      <c r="P30">
        <v>40</v>
      </c>
      <c r="Q30" s="5">
        <v>4.97</v>
      </c>
      <c r="R30" s="4">
        <v>0.025</v>
      </c>
      <c r="S30">
        <v>39</v>
      </c>
      <c r="T30">
        <v>1</v>
      </c>
      <c r="U30">
        <v>0</v>
      </c>
      <c r="V30">
        <v>0</v>
      </c>
      <c r="W30">
        <v>1</v>
      </c>
      <c r="X30">
        <v>0</v>
      </c>
      <c r="Y30" s="5">
        <v>198.9</v>
      </c>
      <c r="Z30">
        <v>1</v>
      </c>
      <c r="AA30" s="5">
        <v>198.9</v>
      </c>
      <c r="AB30" s="5">
        <v>0</v>
      </c>
      <c r="AC30" s="5">
        <v>198.9</v>
      </c>
      <c r="AD30" s="5">
        <v>0</v>
      </c>
      <c r="AE30" s="5">
        <v>0</v>
      </c>
    </row>
    <row r="31">
      <c r="A31" s="2" t="str">
        <f>HYPERLINK("https://www.avito.ru/vyborg/uslugi/priem_metalloloma_priem_chernogo_loma_opt_8023080226","8023080226")</f>
      </c>
      <c r="B31" t="s">
        <v>73</v>
      </c>
      <c r="C31" t="s">
        <v>98</v>
      </c>
      <c r="D31" t="s">
        <v>99</v>
      </c>
      <c r="E31" t="s">
        <v>34</v>
      </c>
      <c r="F31" t="s">
        <v>35</v>
      </c>
      <c r="G31" t="s">
        <v>36</v>
      </c>
      <c r="H31" s="3" t="str">
        <f>HYPERLINK("https://www.avito.ru/vyborg/uslugi/priem_metalloloma_priem_chernogo_loma_opt_8023080226","Прием металлолома / Прием черного лома опт")</f>
      </c>
      <c r="I31" t="s">
        <v>54</v>
      </c>
      <c r="J31" t="s">
        <v>38</v>
      </c>
      <c r="K31" t="s">
        <v>39</v>
      </c>
      <c r="L31">
        <v>4</v>
      </c>
      <c r="M31" t="s">
        <v>40</v>
      </c>
      <c r="N31">
        <v>231</v>
      </c>
      <c r="O31" s="4">
        <v>0.1688</v>
      </c>
      <c r="P31">
        <v>39</v>
      </c>
      <c r="Q31" s="5">
        <v>18.22</v>
      </c>
      <c r="R31" s="4">
        <v>0.0256</v>
      </c>
      <c r="S31">
        <v>38</v>
      </c>
      <c r="T31">
        <v>1</v>
      </c>
      <c r="U31">
        <v>1</v>
      </c>
      <c r="V31">
        <v>0</v>
      </c>
      <c r="W31">
        <v>0</v>
      </c>
      <c r="X31">
        <v>0</v>
      </c>
      <c r="Y31" s="5">
        <v>710.6</v>
      </c>
      <c r="Z31">
        <v>2</v>
      </c>
      <c r="AA31" s="5">
        <v>710.6</v>
      </c>
      <c r="AB31" s="5">
        <v>0</v>
      </c>
      <c r="AC31" s="5">
        <v>710.6</v>
      </c>
      <c r="AD31" s="5">
        <v>0</v>
      </c>
      <c r="AE31" s="5">
        <v>0</v>
      </c>
    </row>
    <row r="32">
      <c r="A32" s="2" t="str">
        <f>HYPERLINK("https://www.avito.ru/pikalevo/uslugi/priem_tsvetnogo_metalloloma_8023345096","8023345096")</f>
      </c>
      <c r="B32" t="s">
        <v>73</v>
      </c>
      <c r="C32" t="s">
        <v>102</v>
      </c>
      <c r="D32" t="s">
        <v>103</v>
      </c>
      <c r="E32" t="s">
        <v>34</v>
      </c>
      <c r="F32" t="s">
        <v>35</v>
      </c>
      <c r="G32" t="s">
        <v>36</v>
      </c>
      <c r="H32" s="3" t="str">
        <f>HYPERLINK("https://www.avito.ru/pikalevo/uslugi/priem_tsvetnogo_metalloloma_8023345096","Прием цветного металлолома")</f>
      </c>
      <c r="I32" t="s">
        <v>41</v>
      </c>
      <c r="J32" t="s">
        <v>38</v>
      </c>
      <c r="K32" t="s">
        <v>39</v>
      </c>
      <c r="L32">
        <v>4</v>
      </c>
      <c r="M32" t="s">
        <v>40</v>
      </c>
      <c r="N32">
        <v>134</v>
      </c>
      <c r="O32" s="4">
        <v>0.2761</v>
      </c>
      <c r="P32">
        <v>37</v>
      </c>
      <c r="Q32" s="5">
        <v>18.19</v>
      </c>
      <c r="R32" s="4">
        <v>0</v>
      </c>
      <c r="S32">
        <v>36</v>
      </c>
      <c r="T32">
        <v>0</v>
      </c>
      <c r="U32">
        <v>0</v>
      </c>
      <c r="V32">
        <v>0</v>
      </c>
      <c r="W32">
        <v>0</v>
      </c>
      <c r="X32">
        <v>0</v>
      </c>
      <c r="Y32" s="5" t="s">
        <v>40</v>
      </c>
      <c r="Z32">
        <v>1</v>
      </c>
      <c r="AA32" s="5">
        <v>673.2</v>
      </c>
      <c r="AB32" s="5">
        <v>0</v>
      </c>
      <c r="AC32" s="5">
        <v>673.2</v>
      </c>
      <c r="AD32" s="5">
        <v>0</v>
      </c>
      <c r="AE32" s="5">
        <v>0</v>
      </c>
    </row>
    <row r="33">
      <c r="A33" s="2" t="str">
        <f>HYPERLINK("https://www.avito.ru/slantsy/uslugi/priem_metalloloma_priem_tsvetnogo_loma_8023580238","8023580238")</f>
      </c>
      <c r="B33" t="s">
        <v>73</v>
      </c>
      <c r="C33" t="s">
        <v>104</v>
      </c>
      <c r="D33" t="s">
        <v>105</v>
      </c>
      <c r="E33" t="s">
        <v>34</v>
      </c>
      <c r="F33" t="s">
        <v>35</v>
      </c>
      <c r="G33" t="s">
        <v>36</v>
      </c>
      <c r="H33" s="3" t="str">
        <f>HYPERLINK("https://www.avito.ru/slantsy/uslugi/priem_metalloloma_priem_tsvetnogo_loma_8023580238","Прием металлолома / Прием цветного лома")</f>
      </c>
      <c r="I33" t="s">
        <v>47</v>
      </c>
      <c r="J33" t="s">
        <v>38</v>
      </c>
      <c r="K33" t="s">
        <v>39</v>
      </c>
      <c r="L33">
        <v>4</v>
      </c>
      <c r="M33" t="s">
        <v>40</v>
      </c>
      <c r="N33">
        <v>159</v>
      </c>
      <c r="O33" s="4">
        <v>0.2327</v>
      </c>
      <c r="P33">
        <v>37</v>
      </c>
      <c r="Q33" s="5">
        <v>18.19</v>
      </c>
      <c r="R33" s="4">
        <v>0</v>
      </c>
      <c r="S33">
        <v>36</v>
      </c>
      <c r="T33">
        <v>0</v>
      </c>
      <c r="U33">
        <v>0</v>
      </c>
      <c r="V33">
        <v>0</v>
      </c>
      <c r="W33">
        <v>0</v>
      </c>
      <c r="X33">
        <v>0</v>
      </c>
      <c r="Y33" s="5" t="s">
        <v>40</v>
      </c>
      <c r="Z33">
        <v>2</v>
      </c>
      <c r="AA33" s="5">
        <v>673.2</v>
      </c>
      <c r="AB33" s="5">
        <v>0</v>
      </c>
      <c r="AC33" s="5">
        <v>673.2</v>
      </c>
      <c r="AD33" s="5">
        <v>0</v>
      </c>
      <c r="AE33" s="5">
        <v>0</v>
      </c>
    </row>
    <row r="34">
      <c r="A34" s="2" t="str">
        <f>HYPERLINK("https://www.avito.ru/sheksna/uslugi/priem_loma_tsvetnyh_metallov_8023900075","8023900075")</f>
      </c>
      <c r="B34" t="s">
        <v>42</v>
      </c>
      <c r="C34" t="s">
        <v>106</v>
      </c>
      <c r="D34" t="s">
        <v>107</v>
      </c>
      <c r="E34" t="s">
        <v>34</v>
      </c>
      <c r="F34" t="s">
        <v>35</v>
      </c>
      <c r="G34" t="s">
        <v>36</v>
      </c>
      <c r="H34" s="3" t="str">
        <f>HYPERLINK("https://www.avito.ru/sheksna/uslugi/priem_loma_tsvetnyh_metallov_8023900075","Прием лома цветных металлов")</f>
      </c>
      <c r="I34" t="s">
        <v>37</v>
      </c>
      <c r="J34" t="s">
        <v>38</v>
      </c>
      <c r="K34" t="s">
        <v>39</v>
      </c>
      <c r="L34">
        <v>4</v>
      </c>
      <c r="M34" t="s">
        <v>40</v>
      </c>
      <c r="N34">
        <v>116</v>
      </c>
      <c r="O34" s="4">
        <v>0.3189</v>
      </c>
      <c r="P34">
        <v>37</v>
      </c>
      <c r="Q34" s="5">
        <v>4.82</v>
      </c>
      <c r="R34" s="4">
        <v>0</v>
      </c>
      <c r="S34">
        <v>35</v>
      </c>
      <c r="T34">
        <v>0</v>
      </c>
      <c r="U34">
        <v>0</v>
      </c>
      <c r="V34">
        <v>0</v>
      </c>
      <c r="W34">
        <v>0</v>
      </c>
      <c r="X34">
        <v>0</v>
      </c>
      <c r="Y34" s="5" t="s">
        <v>40</v>
      </c>
      <c r="Z34">
        <v>0</v>
      </c>
      <c r="AA34" s="5">
        <v>178.5</v>
      </c>
      <c r="AB34" s="5">
        <v>0</v>
      </c>
      <c r="AC34" s="5">
        <v>178.5</v>
      </c>
      <c r="AD34" s="5">
        <v>0</v>
      </c>
      <c r="AE34" s="5">
        <v>0</v>
      </c>
    </row>
    <row r="35">
      <c r="A35" s="2" t="str">
        <f>HYPERLINK("https://www.avito.ru/sankt-peterburg/uslugi/priem_metalloloma_priem_loma_demontazh_7543158206","7543158206")</f>
      </c>
      <c r="B35" t="s">
        <v>55</v>
      </c>
      <c r="C35" t="s">
        <v>56</v>
      </c>
      <c r="D35" t="s">
        <v>108</v>
      </c>
      <c r="E35" t="s">
        <v>34</v>
      </c>
      <c r="F35" t="s">
        <v>35</v>
      </c>
      <c r="G35" t="s">
        <v>36</v>
      </c>
      <c r="H35" s="3" t="str">
        <f>HYPERLINK("https://www.avito.ru/sankt-peterburg/uslugi/priem_metalloloma_priem_loma_demontazh_7543158206","Прием металлолома / Прием лома / Демонтаж")</f>
      </c>
      <c r="I35" t="s">
        <v>109</v>
      </c>
      <c r="J35" t="s">
        <v>59</v>
      </c>
      <c r="K35" t="s">
        <v>60</v>
      </c>
      <c r="L35">
        <v>246</v>
      </c>
      <c r="M35" t="s">
        <v>40</v>
      </c>
      <c r="N35">
        <v>340</v>
      </c>
      <c r="O35" s="4">
        <v>0.1058</v>
      </c>
      <c r="P35">
        <v>36</v>
      </c>
      <c r="Q35" s="5">
        <v>141.15</v>
      </c>
      <c r="R35" s="4">
        <v>0.1388</v>
      </c>
      <c r="S35">
        <v>33</v>
      </c>
      <c r="T35">
        <v>5</v>
      </c>
      <c r="U35">
        <v>2</v>
      </c>
      <c r="V35">
        <v>3</v>
      </c>
      <c r="W35">
        <v>0</v>
      </c>
      <c r="X35">
        <v>0</v>
      </c>
      <c r="Y35" s="5">
        <v>1016.32</v>
      </c>
      <c r="Z35">
        <v>0</v>
      </c>
      <c r="AA35" s="5">
        <v>5081.6</v>
      </c>
      <c r="AB35" s="5">
        <v>0</v>
      </c>
      <c r="AC35" s="5">
        <v>5081.6</v>
      </c>
      <c r="AD35" s="5">
        <v>0</v>
      </c>
      <c r="AE35" s="5">
        <v>0</v>
      </c>
    </row>
    <row r="36">
      <c r="A36" s="2" t="str">
        <f>HYPERLINK("https://www.avito.ru/borovichi/uslugi/priem_metalloloma_priem_chernogo_loma_8023899134","8023899134")</f>
      </c>
      <c r="B36" t="s">
        <v>48</v>
      </c>
      <c r="C36" t="s">
        <v>70</v>
      </c>
      <c r="D36" t="s">
        <v>71</v>
      </c>
      <c r="E36" t="s">
        <v>34</v>
      </c>
      <c r="F36" t="s">
        <v>35</v>
      </c>
      <c r="G36" t="s">
        <v>36</v>
      </c>
      <c r="H36" s="3" t="str">
        <f>HYPERLINK("https://www.avito.ru/borovichi/uslugi/priem_metalloloma_priem_chernogo_loma_8023899134","Прием металлолома / Прием черного лома")</f>
      </c>
      <c r="I36" t="s">
        <v>41</v>
      </c>
      <c r="J36" t="s">
        <v>38</v>
      </c>
      <c r="K36" t="s">
        <v>39</v>
      </c>
      <c r="L36">
        <v>4</v>
      </c>
      <c r="M36" t="s">
        <v>40</v>
      </c>
      <c r="N36">
        <v>139</v>
      </c>
      <c r="O36" s="4">
        <v>0.2589</v>
      </c>
      <c r="P36">
        <v>36</v>
      </c>
      <c r="Q36" s="5">
        <v>5.1</v>
      </c>
      <c r="R36" s="4">
        <v>0</v>
      </c>
      <c r="S36">
        <v>36</v>
      </c>
      <c r="T36">
        <v>0</v>
      </c>
      <c r="U36">
        <v>0</v>
      </c>
      <c r="V36">
        <v>0</v>
      </c>
      <c r="W36">
        <v>0</v>
      </c>
      <c r="X36">
        <v>0</v>
      </c>
      <c r="Y36" s="5" t="s">
        <v>40</v>
      </c>
      <c r="Z36">
        <v>0</v>
      </c>
      <c r="AA36" s="5">
        <v>183.6</v>
      </c>
      <c r="AB36" s="5">
        <v>0</v>
      </c>
      <c r="AC36" s="5">
        <v>183.6</v>
      </c>
      <c r="AD36" s="5">
        <v>0</v>
      </c>
      <c r="AE36" s="5">
        <v>0</v>
      </c>
    </row>
    <row r="37">
      <c r="A37" s="2" t="str">
        <f>HYPERLINK("https://www.avito.ru/vologda/uslugi/priem_tsvetnogo_metalloloma_8023023404","8023023404")</f>
      </c>
      <c r="B37" t="s">
        <v>42</v>
      </c>
      <c r="C37" t="s">
        <v>45</v>
      </c>
      <c r="D37" t="s">
        <v>46</v>
      </c>
      <c r="E37" t="s">
        <v>34</v>
      </c>
      <c r="F37" t="s">
        <v>35</v>
      </c>
      <c r="G37" t="s">
        <v>36</v>
      </c>
      <c r="H37" s="3" t="str">
        <f>HYPERLINK("https://www.avito.ru/vologda/uslugi/priem_tsvetnogo_metalloloma_8023023404","Прием цветного металлолома")</f>
      </c>
      <c r="I37" t="s">
        <v>54</v>
      </c>
      <c r="J37" t="s">
        <v>38</v>
      </c>
      <c r="K37" t="s">
        <v>39</v>
      </c>
      <c r="L37">
        <v>4</v>
      </c>
      <c r="M37" t="s">
        <v>40</v>
      </c>
      <c r="N37">
        <v>188</v>
      </c>
      <c r="O37" s="4">
        <v>0.1808</v>
      </c>
      <c r="P37">
        <v>34</v>
      </c>
      <c r="Q37" s="5">
        <v>4.65</v>
      </c>
      <c r="R37" s="4">
        <v>0</v>
      </c>
      <c r="S37">
        <v>31</v>
      </c>
      <c r="T37">
        <v>0</v>
      </c>
      <c r="U37">
        <v>0</v>
      </c>
      <c r="V37">
        <v>0</v>
      </c>
      <c r="W37">
        <v>0</v>
      </c>
      <c r="X37">
        <v>0</v>
      </c>
      <c r="Y37" s="5" t="s">
        <v>40</v>
      </c>
      <c r="Z37">
        <v>0</v>
      </c>
      <c r="AA37" s="5">
        <v>158.1</v>
      </c>
      <c r="AB37" s="5">
        <v>0</v>
      </c>
      <c r="AC37" s="5">
        <v>158.1</v>
      </c>
      <c r="AD37" s="5">
        <v>0</v>
      </c>
      <c r="AE37" s="5">
        <v>0</v>
      </c>
    </row>
    <row r="38">
      <c r="A38" s="2" t="str">
        <f>HYPERLINK("https://www.avito.ru/sankt-peterburg/uslugi/priem_i_vyvoz_metalloloma_sdat_lom_8023351187","8023351187")</f>
      </c>
      <c r="B38" t="s">
        <v>55</v>
      </c>
      <c r="C38" t="s">
        <v>56</v>
      </c>
      <c r="D38" t="s">
        <v>110</v>
      </c>
      <c r="E38" t="s">
        <v>34</v>
      </c>
      <c r="F38" t="s">
        <v>35</v>
      </c>
      <c r="G38" t="s">
        <v>36</v>
      </c>
      <c r="H38" s="3" t="str">
        <f>HYPERLINK("https://www.avito.ru/sankt-peterburg/uslugi/priem_i_vyvoz_metalloloma_sdat_lom_8023351187","Прием и вывоз металлолома / Сдать лом")</f>
      </c>
      <c r="I38" t="s">
        <v>54</v>
      </c>
      <c r="J38" t="s">
        <v>111</v>
      </c>
      <c r="K38" t="s">
        <v>112</v>
      </c>
      <c r="L38">
        <v>5</v>
      </c>
      <c r="M38" t="s">
        <v>40</v>
      </c>
      <c r="N38">
        <v>278</v>
      </c>
      <c r="O38" s="4">
        <v>0.1223</v>
      </c>
      <c r="P38">
        <v>34</v>
      </c>
      <c r="Q38" s="5">
        <v>20.4</v>
      </c>
      <c r="R38" s="4">
        <v>0</v>
      </c>
      <c r="S38">
        <v>34</v>
      </c>
      <c r="T38">
        <v>0</v>
      </c>
      <c r="U38">
        <v>0</v>
      </c>
      <c r="V38">
        <v>0</v>
      </c>
      <c r="W38">
        <v>0</v>
      </c>
      <c r="X38">
        <v>0</v>
      </c>
      <c r="Y38" s="5" t="s">
        <v>40</v>
      </c>
      <c r="Z38">
        <v>0</v>
      </c>
      <c r="AA38" s="5">
        <v>693.6</v>
      </c>
      <c r="AB38" s="5">
        <v>0</v>
      </c>
      <c r="AC38" s="5">
        <v>693.6</v>
      </c>
      <c r="AD38" s="5">
        <v>0</v>
      </c>
      <c r="AE38" s="5">
        <v>0</v>
      </c>
    </row>
    <row r="39">
      <c r="A39" s="2" t="str">
        <f>HYPERLINK("https://www.avito.ru/tihvin/uslugi/priem_metalloloma_priem_tsvetnogo_loma_8023188116","8023188116")</f>
      </c>
      <c r="B39" t="s">
        <v>73</v>
      </c>
      <c r="C39" t="s">
        <v>113</v>
      </c>
      <c r="D39" t="s">
        <v>114</v>
      </c>
      <c r="E39" t="s">
        <v>34</v>
      </c>
      <c r="F39" t="s">
        <v>35</v>
      </c>
      <c r="G39" t="s">
        <v>36</v>
      </c>
      <c r="H39" s="3" t="str">
        <f>HYPERLINK("https://www.avito.ru/tihvin/uslugi/priem_metalloloma_priem_tsvetnogo_loma_8023188116","Прием металлолома / Прием цветного лома")</f>
      </c>
      <c r="I39" t="s">
        <v>72</v>
      </c>
      <c r="J39" t="s">
        <v>38</v>
      </c>
      <c r="K39" t="s">
        <v>39</v>
      </c>
      <c r="L39">
        <v>4</v>
      </c>
      <c r="M39" t="s">
        <v>40</v>
      </c>
      <c r="N39">
        <v>199</v>
      </c>
      <c r="O39" s="4">
        <v>0.1608</v>
      </c>
      <c r="P39">
        <v>32</v>
      </c>
      <c r="Q39" s="5">
        <v>17.53</v>
      </c>
      <c r="R39" s="4">
        <v>0.0937</v>
      </c>
      <c r="S39">
        <v>30</v>
      </c>
      <c r="T39">
        <v>3</v>
      </c>
      <c r="U39">
        <v>1</v>
      </c>
      <c r="V39">
        <v>2</v>
      </c>
      <c r="W39">
        <v>0</v>
      </c>
      <c r="X39">
        <v>0</v>
      </c>
      <c r="Y39" s="5">
        <v>187</v>
      </c>
      <c r="Z39">
        <v>0</v>
      </c>
      <c r="AA39" s="5">
        <v>561</v>
      </c>
      <c r="AB39" s="5">
        <v>0</v>
      </c>
      <c r="AC39" s="5">
        <v>561</v>
      </c>
      <c r="AD39" s="5">
        <v>0</v>
      </c>
      <c r="AE39" s="5">
        <v>0</v>
      </c>
    </row>
    <row r="40">
      <c r="A40" s="2" t="str">
        <f>HYPERLINK("https://www.avito.ru/sankt-peterburg/uslugi/priem_metalla_demontazh_priem_metalloloma_8023299475","8023299475")</f>
      </c>
      <c r="B40" t="s">
        <v>55</v>
      </c>
      <c r="C40" t="s">
        <v>56</v>
      </c>
      <c r="D40" t="s">
        <v>115</v>
      </c>
      <c r="E40" t="s">
        <v>34</v>
      </c>
      <c r="F40" t="s">
        <v>35</v>
      </c>
      <c r="G40" t="s">
        <v>36</v>
      </c>
      <c r="H40" s="3" t="str">
        <f>HYPERLINK("https://www.avito.ru/sankt-peterburg/uslugi/priem_metalla_demontazh_priem_metalloloma_8023299475","Прием металла / Демонтаж / Прием металлолома")</f>
      </c>
      <c r="I40" t="s">
        <v>95</v>
      </c>
      <c r="J40" t="s">
        <v>96</v>
      </c>
      <c r="K40" t="s">
        <v>69</v>
      </c>
      <c r="L40">
        <v>8</v>
      </c>
      <c r="M40" t="s">
        <v>40</v>
      </c>
      <c r="N40">
        <v>279</v>
      </c>
      <c r="O40" s="4">
        <v>0.1146</v>
      </c>
      <c r="P40">
        <v>32</v>
      </c>
      <c r="Q40" s="5">
        <v>147.72</v>
      </c>
      <c r="R40" s="4">
        <v>0.2812</v>
      </c>
      <c r="S40">
        <v>31</v>
      </c>
      <c r="T40">
        <v>9</v>
      </c>
      <c r="U40">
        <v>1</v>
      </c>
      <c r="V40">
        <v>7</v>
      </c>
      <c r="W40">
        <v>1</v>
      </c>
      <c r="X40">
        <v>0</v>
      </c>
      <c r="Y40" s="5">
        <v>525.24</v>
      </c>
      <c r="Z40">
        <v>0</v>
      </c>
      <c r="AA40" s="5">
        <v>4727.2</v>
      </c>
      <c r="AB40" s="5">
        <v>0</v>
      </c>
      <c r="AC40" s="5">
        <v>4727.2</v>
      </c>
      <c r="AD40" s="5">
        <v>0</v>
      </c>
      <c r="AE40" s="5">
        <v>0</v>
      </c>
    </row>
    <row r="41">
      <c r="A41" s="2" t="str">
        <f>HYPERLINK("https://www.avito.ru/sankt-peterburg/uslugi/priem_metalloloma_vyvoz_metalloloma_8023266841","8023266841")</f>
      </c>
      <c r="B41" t="s">
        <v>55</v>
      </c>
      <c r="C41" t="s">
        <v>56</v>
      </c>
      <c r="D41" t="s">
        <v>115</v>
      </c>
      <c r="E41" t="s">
        <v>34</v>
      </c>
      <c r="F41" t="s">
        <v>35</v>
      </c>
      <c r="G41" t="s">
        <v>36</v>
      </c>
      <c r="H41" s="3" t="str">
        <f>HYPERLINK("https://www.avito.ru/sankt-peterburg/uslugi/priem_metalloloma_vyvoz_metalloloma_8023266841","Прием металлолома/ Вывоз металлолома")</f>
      </c>
      <c r="I41" t="s">
        <v>85</v>
      </c>
      <c r="J41" t="s">
        <v>111</v>
      </c>
      <c r="K41" t="s">
        <v>112</v>
      </c>
      <c r="L41">
        <v>5</v>
      </c>
      <c r="M41" t="s">
        <v>40</v>
      </c>
      <c r="N41">
        <v>499</v>
      </c>
      <c r="O41" s="4">
        <v>0.0621</v>
      </c>
      <c r="P41">
        <v>31</v>
      </c>
      <c r="Q41" s="5">
        <v>19.08</v>
      </c>
      <c r="R41" s="4">
        <v>0.0322</v>
      </c>
      <c r="S41">
        <v>29</v>
      </c>
      <c r="T41">
        <v>1</v>
      </c>
      <c r="U41">
        <v>1</v>
      </c>
      <c r="V41">
        <v>0</v>
      </c>
      <c r="W41">
        <v>0</v>
      </c>
      <c r="X41">
        <v>0</v>
      </c>
      <c r="Y41" s="5">
        <v>591.6</v>
      </c>
      <c r="Z41">
        <v>2</v>
      </c>
      <c r="AA41" s="5">
        <v>591.6</v>
      </c>
      <c r="AB41" s="5">
        <v>0</v>
      </c>
      <c r="AC41" s="5">
        <v>591.6</v>
      </c>
      <c r="AD41" s="5">
        <v>0</v>
      </c>
      <c r="AE41" s="5">
        <v>0</v>
      </c>
    </row>
    <row r="42">
      <c r="A42" s="2" t="str">
        <f>HYPERLINK("https://www.avito.ru/severodvinsk/uslugi/priem_metalloloma_priem_tsvetnogo_loma_8023518256","8023518256")</f>
      </c>
      <c r="B42" t="s">
        <v>116</v>
      </c>
      <c r="C42" t="s">
        <v>117</v>
      </c>
      <c r="D42" t="s">
        <v>118</v>
      </c>
      <c r="E42" t="s">
        <v>34</v>
      </c>
      <c r="F42" t="s">
        <v>35</v>
      </c>
      <c r="G42" t="s">
        <v>36</v>
      </c>
      <c r="H42" s="3" t="str">
        <f>HYPERLINK("https://www.avito.ru/severodvinsk/uslugi/priem_metalloloma_priem_tsvetnogo_loma_8023518256","Прием металлолома / Прием цветного лома")</f>
      </c>
      <c r="I42" t="s">
        <v>37</v>
      </c>
      <c r="J42" t="s">
        <v>38</v>
      </c>
      <c r="K42" t="s">
        <v>39</v>
      </c>
      <c r="L42">
        <v>4</v>
      </c>
      <c r="M42" t="s">
        <v>40</v>
      </c>
      <c r="N42">
        <v>203</v>
      </c>
      <c r="O42" s="4">
        <v>0.1527</v>
      </c>
      <c r="P42">
        <v>31</v>
      </c>
      <c r="Q42" s="5">
        <v>4.93</v>
      </c>
      <c r="R42" s="4">
        <v>0</v>
      </c>
      <c r="S42">
        <v>30</v>
      </c>
      <c r="T42">
        <v>0</v>
      </c>
      <c r="U42">
        <v>0</v>
      </c>
      <c r="V42">
        <v>0</v>
      </c>
      <c r="W42">
        <v>0</v>
      </c>
      <c r="X42">
        <v>0</v>
      </c>
      <c r="Y42" s="5" t="s">
        <v>40</v>
      </c>
      <c r="Z42">
        <v>1</v>
      </c>
      <c r="AA42" s="5">
        <v>153</v>
      </c>
      <c r="AB42" s="5">
        <v>0</v>
      </c>
      <c r="AC42" s="5">
        <v>153</v>
      </c>
      <c r="AD42" s="5">
        <v>0</v>
      </c>
      <c r="AE42" s="5">
        <v>0</v>
      </c>
    </row>
    <row r="43">
      <c r="A43" s="2" t="str">
        <f>HYPERLINK("https://www.avito.ru/sankt-peterburg/uslugi/spektralnyy_analiz_sostava_metalla_7799250387","7799250387")</f>
      </c>
      <c r="B43" t="s">
        <v>55</v>
      </c>
      <c r="C43" t="s">
        <v>56</v>
      </c>
      <c r="D43" t="s">
        <v>119</v>
      </c>
      <c r="E43" t="s">
        <v>34</v>
      </c>
      <c r="F43" t="s">
        <v>35</v>
      </c>
      <c r="G43" t="s">
        <v>120</v>
      </c>
      <c r="H43" s="3" t="str">
        <f>HYPERLINK("https://www.avito.ru/sankt-peterburg/uslugi/spektralnyy_analiz_sostava_metalla_7799250387","Спектральный анализ состава металла")</f>
      </c>
      <c r="I43" t="s">
        <v>121</v>
      </c>
      <c r="J43" t="s">
        <v>122</v>
      </c>
      <c r="K43" t="s">
        <v>123</v>
      </c>
      <c r="L43">
        <v>128</v>
      </c>
      <c r="M43" t="s">
        <v>40</v>
      </c>
      <c r="N43">
        <v>70</v>
      </c>
      <c r="O43" s="4">
        <v>0.4</v>
      </c>
      <c r="P43">
        <v>28</v>
      </c>
      <c r="Q43" s="5">
        <v>16.1</v>
      </c>
      <c r="R43" s="4">
        <v>0.1428</v>
      </c>
      <c r="S43">
        <v>28</v>
      </c>
      <c r="T43">
        <v>4</v>
      </c>
      <c r="U43">
        <v>3</v>
      </c>
      <c r="V43">
        <v>1</v>
      </c>
      <c r="W43">
        <v>0</v>
      </c>
      <c r="X43">
        <v>0</v>
      </c>
      <c r="Y43" s="5">
        <v>112.7</v>
      </c>
      <c r="Z43">
        <v>2</v>
      </c>
      <c r="AA43" s="5">
        <v>450.8</v>
      </c>
      <c r="AB43" s="5">
        <v>0</v>
      </c>
      <c r="AC43" s="5">
        <v>450.8</v>
      </c>
      <c r="AD43" s="5">
        <v>0</v>
      </c>
      <c r="AE43" s="5">
        <v>0</v>
      </c>
    </row>
    <row r="44">
      <c r="A44" s="2" t="str">
        <f>HYPERLINK("https://www.avito.ru/borovichi/uslugi/priem_loma_priem_tsvetnogo_loma_priem_chermeta_8023707576","8023707576")</f>
      </c>
      <c r="B44" t="s">
        <v>48</v>
      </c>
      <c r="C44" t="s">
        <v>70</v>
      </c>
      <c r="D44" t="s">
        <v>71</v>
      </c>
      <c r="E44" t="s">
        <v>34</v>
      </c>
      <c r="F44" t="s">
        <v>35</v>
      </c>
      <c r="G44" t="s">
        <v>36</v>
      </c>
      <c r="H44" s="3" t="str">
        <f>HYPERLINK("https://www.avito.ru/borovichi/uslugi/priem_loma_priem_tsvetnogo_loma_priem_chermeta_8023707576","Прием лома / Прием цветного лома / Прием чермета")</f>
      </c>
      <c r="I44" t="s">
        <v>85</v>
      </c>
      <c r="J44" t="s">
        <v>123</v>
      </c>
      <c r="K44" t="s">
        <v>124</v>
      </c>
      <c r="L44">
        <v>1</v>
      </c>
      <c r="M44" t="s">
        <v>40</v>
      </c>
      <c r="N44">
        <v>114</v>
      </c>
      <c r="O44" s="4">
        <v>0.2456</v>
      </c>
      <c r="P44">
        <v>28</v>
      </c>
      <c r="Q44" s="5">
        <v>4.91</v>
      </c>
      <c r="R44" s="4">
        <v>0</v>
      </c>
      <c r="S44">
        <v>27</v>
      </c>
      <c r="T44">
        <v>0</v>
      </c>
      <c r="U44">
        <v>0</v>
      </c>
      <c r="V44">
        <v>0</v>
      </c>
      <c r="W44">
        <v>0</v>
      </c>
      <c r="X44">
        <v>0</v>
      </c>
      <c r="Y44" s="5" t="s">
        <v>40</v>
      </c>
      <c r="Z44">
        <v>1</v>
      </c>
      <c r="AA44" s="5">
        <v>137.7</v>
      </c>
      <c r="AB44" s="5">
        <v>0</v>
      </c>
      <c r="AC44" s="5">
        <v>137.7</v>
      </c>
      <c r="AD44" s="5">
        <v>0</v>
      </c>
      <c r="AE44" s="5">
        <v>0</v>
      </c>
    </row>
    <row r="45">
      <c r="A45" s="2" t="str">
        <f>HYPERLINK("https://www.avito.ru/sankt-peterburg/uslugi/priem_i_vyvoz_metalloloma_priem_redkih_metallov_8023098686","8023098686")</f>
      </c>
      <c r="B45" t="s">
        <v>55</v>
      </c>
      <c r="C45" t="s">
        <v>56</v>
      </c>
      <c r="D45" t="s">
        <v>125</v>
      </c>
      <c r="E45" t="s">
        <v>34</v>
      </c>
      <c r="F45" t="s">
        <v>35</v>
      </c>
      <c r="G45" t="s">
        <v>36</v>
      </c>
      <c r="H45" s="3" t="str">
        <f>HYPERLINK("https://www.avito.ru/sankt-peterburg/uslugi/priem_i_vyvoz_metalloloma_priem_redkih_metallov_8023098686","Прием и вывоз металлолома / Прием редких металлов")</f>
      </c>
      <c r="I45" t="s">
        <v>95</v>
      </c>
      <c r="J45" t="s">
        <v>96</v>
      </c>
      <c r="K45" t="s">
        <v>69</v>
      </c>
      <c r="L45">
        <v>8</v>
      </c>
      <c r="M45" t="s">
        <v>40</v>
      </c>
      <c r="N45">
        <v>718</v>
      </c>
      <c r="O45" s="4">
        <v>0.0362</v>
      </c>
      <c r="P45">
        <v>26</v>
      </c>
      <c r="Q45" s="5">
        <v>20.4</v>
      </c>
      <c r="R45" s="4">
        <v>0</v>
      </c>
      <c r="S45">
        <v>26</v>
      </c>
      <c r="T45">
        <v>0</v>
      </c>
      <c r="U45">
        <v>0</v>
      </c>
      <c r="V45">
        <v>0</v>
      </c>
      <c r="W45">
        <v>0</v>
      </c>
      <c r="X45">
        <v>0</v>
      </c>
      <c r="Y45" s="5" t="s">
        <v>40</v>
      </c>
      <c r="Z45">
        <v>2</v>
      </c>
      <c r="AA45" s="5">
        <v>530.4</v>
      </c>
      <c r="AB45" s="5">
        <v>0</v>
      </c>
      <c r="AC45" s="5">
        <v>530.4</v>
      </c>
      <c r="AD45" s="5">
        <v>0</v>
      </c>
      <c r="AE45" s="5">
        <v>0</v>
      </c>
    </row>
    <row r="46">
      <c r="A46" s="2" t="str">
        <f>HYPERLINK("https://www.avito.ru/sankt-peterburg/uslugi/priem_i_vyvoz_metalloloma_priem_redkih_metallov_8023865033","8023865033")</f>
      </c>
      <c r="B46" t="s">
        <v>55</v>
      </c>
      <c r="C46" t="s">
        <v>56</v>
      </c>
      <c r="D46" t="s">
        <v>94</v>
      </c>
      <c r="E46" t="s">
        <v>34</v>
      </c>
      <c r="F46" t="s">
        <v>35</v>
      </c>
      <c r="G46" t="s">
        <v>36</v>
      </c>
      <c r="H46" s="3" t="str">
        <f>HYPERLINK("https://www.avito.ru/sankt-peterburg/uslugi/priem_i_vyvoz_metalloloma_priem_redkih_metallov_8023865033","Прием и вывоз металлолома / Прием редких металлов")</f>
      </c>
      <c r="I46" t="s">
        <v>85</v>
      </c>
      <c r="J46" t="s">
        <v>86</v>
      </c>
      <c r="K46" t="s">
        <v>87</v>
      </c>
      <c r="L46">
        <v>7</v>
      </c>
      <c r="M46" t="s">
        <v>40</v>
      </c>
      <c r="N46">
        <v>439</v>
      </c>
      <c r="O46" s="4">
        <v>0.0592</v>
      </c>
      <c r="P46">
        <v>26</v>
      </c>
      <c r="Q46" s="5">
        <v>156.23</v>
      </c>
      <c r="R46" s="4">
        <v>0.3461</v>
      </c>
      <c r="S46">
        <v>24</v>
      </c>
      <c r="T46">
        <v>9</v>
      </c>
      <c r="U46">
        <v>4</v>
      </c>
      <c r="V46">
        <v>5</v>
      </c>
      <c r="W46">
        <v>0</v>
      </c>
      <c r="X46">
        <v>0</v>
      </c>
      <c r="Y46" s="5">
        <v>451.34</v>
      </c>
      <c r="Z46">
        <v>2</v>
      </c>
      <c r="AA46" s="5">
        <v>4062.08</v>
      </c>
      <c r="AB46" s="5">
        <v>0</v>
      </c>
      <c r="AC46" s="5">
        <v>4062.08</v>
      </c>
      <c r="AD46" s="5">
        <v>0</v>
      </c>
      <c r="AE46" s="5">
        <v>0</v>
      </c>
    </row>
    <row r="47">
      <c r="A47" s="2" t="str">
        <f>HYPERLINK("https://www.avito.ru/sankt-peterburg/uslugi/priem_metalloloma_priem_loma_demontazh_8023716687","8023716687")</f>
      </c>
      <c r="B47" t="s">
        <v>55</v>
      </c>
      <c r="C47" t="s">
        <v>56</v>
      </c>
      <c r="D47" t="s">
        <v>66</v>
      </c>
      <c r="E47" t="s">
        <v>34</v>
      </c>
      <c r="F47" t="s">
        <v>35</v>
      </c>
      <c r="G47" t="s">
        <v>36</v>
      </c>
      <c r="H47" s="3" t="str">
        <f>HYPERLINK("https://www.avito.ru/sankt-peterburg/uslugi/priem_metalloloma_priem_loma_demontazh_8023716687","Прием металлолома / Прием лома / Демонтаж")</f>
      </c>
      <c r="I47" t="s">
        <v>85</v>
      </c>
      <c r="J47" t="s">
        <v>96</v>
      </c>
      <c r="K47" t="s">
        <v>69</v>
      </c>
      <c r="L47">
        <v>8</v>
      </c>
      <c r="M47" t="s">
        <v>40</v>
      </c>
      <c r="N47">
        <v>272</v>
      </c>
      <c r="O47" s="4">
        <v>0.0919</v>
      </c>
      <c r="P47">
        <v>25</v>
      </c>
      <c r="Q47" s="5">
        <v>113.71</v>
      </c>
      <c r="R47" s="4">
        <v>0.12</v>
      </c>
      <c r="S47">
        <v>25</v>
      </c>
      <c r="T47">
        <v>3</v>
      </c>
      <c r="U47">
        <v>0</v>
      </c>
      <c r="V47">
        <v>2</v>
      </c>
      <c r="W47">
        <v>1</v>
      </c>
      <c r="X47">
        <v>0</v>
      </c>
      <c r="Y47" s="5">
        <v>947.6</v>
      </c>
      <c r="Z47">
        <v>2</v>
      </c>
      <c r="AA47" s="5">
        <v>2842.8</v>
      </c>
      <c r="AB47" s="5">
        <v>0</v>
      </c>
      <c r="AC47" s="5">
        <v>2842.8</v>
      </c>
      <c r="AD47" s="5">
        <v>0</v>
      </c>
      <c r="AE47" s="5">
        <v>0</v>
      </c>
    </row>
    <row r="48">
      <c r="A48" s="2" t="str">
        <f>HYPERLINK("https://www.avito.ru/velikiy_novgorod/uslugi/priem_metalloloma_priem_chernogo_loma_8023865130","8023865130")</f>
      </c>
      <c r="B48" t="s">
        <v>48</v>
      </c>
      <c r="C48" t="s">
        <v>126</v>
      </c>
      <c r="D48" t="s">
        <v>127</v>
      </c>
      <c r="E48" t="s">
        <v>34</v>
      </c>
      <c r="F48" t="s">
        <v>35</v>
      </c>
      <c r="G48" t="s">
        <v>36</v>
      </c>
      <c r="H48" s="3" t="str">
        <f>HYPERLINK("https://www.avito.ru/velikiy_novgorod/uslugi/priem_metalloloma_priem_chernogo_loma_8023865130","Прием металлолома / Прием черного лома")</f>
      </c>
      <c r="I48" t="s">
        <v>47</v>
      </c>
      <c r="J48" t="s">
        <v>38</v>
      </c>
      <c r="K48" t="s">
        <v>39</v>
      </c>
      <c r="L48">
        <v>4</v>
      </c>
      <c r="M48" t="s">
        <v>40</v>
      </c>
      <c r="N48">
        <v>105</v>
      </c>
      <c r="O48" s="4">
        <v>0.219</v>
      </c>
      <c r="P48">
        <v>23</v>
      </c>
      <c r="Q48" s="5">
        <v>4.87</v>
      </c>
      <c r="R48" s="4">
        <v>0</v>
      </c>
      <c r="S48">
        <v>22</v>
      </c>
      <c r="T48">
        <v>0</v>
      </c>
      <c r="U48">
        <v>0</v>
      </c>
      <c r="V48">
        <v>0</v>
      </c>
      <c r="W48">
        <v>0</v>
      </c>
      <c r="X48">
        <v>0</v>
      </c>
      <c r="Y48" s="5" t="s">
        <v>40</v>
      </c>
      <c r="Z48">
        <v>0</v>
      </c>
      <c r="AA48" s="5">
        <v>112.2</v>
      </c>
      <c r="AB48" s="5">
        <v>0</v>
      </c>
      <c r="AC48" s="5">
        <v>112.2</v>
      </c>
      <c r="AD48" s="5">
        <v>0</v>
      </c>
      <c r="AE48" s="5">
        <v>0</v>
      </c>
    </row>
    <row r="49">
      <c r="A49" s="2" t="str">
        <f>HYPERLINK("https://www.avito.ru/sankt-peterburg/uslugi/vyvoz_metalloloma_priem_loma_demontazh_7543675768","7543675768")</f>
      </c>
      <c r="B49" t="s">
        <v>55</v>
      </c>
      <c r="C49" t="s">
        <v>56</v>
      </c>
      <c r="D49" t="s">
        <v>128</v>
      </c>
      <c r="E49" t="s">
        <v>34</v>
      </c>
      <c r="F49" t="s">
        <v>35</v>
      </c>
      <c r="G49" t="s">
        <v>36</v>
      </c>
      <c r="H49" s="3" t="str">
        <f>HYPERLINK("https://www.avito.ru/sankt-peterburg/uslugi/vyvoz_metalloloma_priem_loma_demontazh_7543675768","Вывоз металлолома / Прием лома / Демонтаж")</f>
      </c>
      <c r="I49" t="s">
        <v>58</v>
      </c>
      <c r="J49" t="s">
        <v>59</v>
      </c>
      <c r="K49" t="s">
        <v>129</v>
      </c>
      <c r="L49">
        <v>246</v>
      </c>
      <c r="M49" t="s">
        <v>40</v>
      </c>
      <c r="N49">
        <v>224</v>
      </c>
      <c r="O49" s="4">
        <v>0.0982</v>
      </c>
      <c r="P49">
        <v>22</v>
      </c>
      <c r="Q49" s="5">
        <v>205.2</v>
      </c>
      <c r="R49" s="4">
        <v>0.1818</v>
      </c>
      <c r="S49">
        <v>21</v>
      </c>
      <c r="T49">
        <v>4</v>
      </c>
      <c r="U49">
        <v>2</v>
      </c>
      <c r="V49">
        <v>2</v>
      </c>
      <c r="W49">
        <v>0</v>
      </c>
      <c r="X49">
        <v>0</v>
      </c>
      <c r="Y49" s="5">
        <v>1128.6</v>
      </c>
      <c r="Z49">
        <v>1</v>
      </c>
      <c r="AA49" s="5">
        <v>4514.4</v>
      </c>
      <c r="AB49" s="5">
        <v>0</v>
      </c>
      <c r="AC49" s="5">
        <v>4275.4</v>
      </c>
      <c r="AD49" s="5">
        <v>239</v>
      </c>
      <c r="AE49" s="5">
        <v>0</v>
      </c>
    </row>
    <row r="50">
      <c r="A50" s="2" t="str">
        <f>HYPERLINK("https://www.avito.ru/pestovo/uslugi/priem_metalloloma_priem_chernogo_loma_8022982419","8022982419")</f>
      </c>
      <c r="B50" t="s">
        <v>48</v>
      </c>
      <c r="C50" t="s">
        <v>130</v>
      </c>
      <c r="D50" t="s">
        <v>131</v>
      </c>
      <c r="E50" t="s">
        <v>34</v>
      </c>
      <c r="F50" t="s">
        <v>35</v>
      </c>
      <c r="G50" t="s">
        <v>36</v>
      </c>
      <c r="H50" s="3" t="str">
        <f>HYPERLINK("https://www.avito.ru/pestovo/uslugi/priem_metalloloma_priem_chernogo_loma_8022982419","Прием металлолома / Прием черного лома")</f>
      </c>
      <c r="I50" t="s">
        <v>65</v>
      </c>
      <c r="J50" t="s">
        <v>38</v>
      </c>
      <c r="K50" t="s">
        <v>39</v>
      </c>
      <c r="L50">
        <v>4</v>
      </c>
      <c r="M50" t="s">
        <v>40</v>
      </c>
      <c r="N50">
        <v>52</v>
      </c>
      <c r="O50" s="4">
        <v>0.3846</v>
      </c>
      <c r="P50">
        <v>20</v>
      </c>
      <c r="Q50" s="5">
        <v>5.1</v>
      </c>
      <c r="R50" s="4">
        <v>0</v>
      </c>
      <c r="S50">
        <v>20</v>
      </c>
      <c r="T50">
        <v>0</v>
      </c>
      <c r="U50">
        <v>0</v>
      </c>
      <c r="V50">
        <v>0</v>
      </c>
      <c r="W50">
        <v>0</v>
      </c>
      <c r="X50">
        <v>0</v>
      </c>
      <c r="Y50" s="5" t="s">
        <v>40</v>
      </c>
      <c r="Z50">
        <v>0</v>
      </c>
      <c r="AA50" s="5">
        <v>102</v>
      </c>
      <c r="AB50" s="5">
        <v>0</v>
      </c>
      <c r="AC50" s="5">
        <v>102</v>
      </c>
      <c r="AD50" s="5">
        <v>0</v>
      </c>
      <c r="AE50" s="5">
        <v>0</v>
      </c>
    </row>
    <row r="51">
      <c r="A51" s="2" t="str">
        <f>HYPERLINK("https://www.avito.ru/gatchina/uslugi/priem_metalloloma_priem_chernogo_loma_8023164342","8023164342")</f>
      </c>
      <c r="B51" t="s">
        <v>73</v>
      </c>
      <c r="C51" t="s">
        <v>132</v>
      </c>
      <c r="D51" t="s">
        <v>133</v>
      </c>
      <c r="E51" t="s">
        <v>34</v>
      </c>
      <c r="F51" t="s">
        <v>35</v>
      </c>
      <c r="G51" t="s">
        <v>36</v>
      </c>
      <c r="H51" s="3" t="str">
        <f>HYPERLINK("https://www.avito.ru/gatchina/uslugi/priem_metalloloma_priem_chernogo_loma_8023164342","Прием металлолома / Прием черного лома")</f>
      </c>
      <c r="I51" t="s">
        <v>41</v>
      </c>
      <c r="J51" t="s">
        <v>38</v>
      </c>
      <c r="K51" t="s">
        <v>39</v>
      </c>
      <c r="L51">
        <v>4</v>
      </c>
      <c r="M51" t="s">
        <v>40</v>
      </c>
      <c r="N51">
        <v>88</v>
      </c>
      <c r="O51" s="4">
        <v>0.2159</v>
      </c>
      <c r="P51">
        <v>19</v>
      </c>
      <c r="Q51" s="5">
        <v>14.76</v>
      </c>
      <c r="R51" s="4">
        <v>0</v>
      </c>
      <c r="S51">
        <v>15</v>
      </c>
      <c r="T51">
        <v>0</v>
      </c>
      <c r="U51">
        <v>0</v>
      </c>
      <c r="V51">
        <v>0</v>
      </c>
      <c r="W51">
        <v>0</v>
      </c>
      <c r="X51">
        <v>0</v>
      </c>
      <c r="Y51" s="5" t="s">
        <v>40</v>
      </c>
      <c r="Z51">
        <v>0</v>
      </c>
      <c r="AA51" s="5">
        <v>280.5</v>
      </c>
      <c r="AB51" s="5">
        <v>0</v>
      </c>
      <c r="AC51" s="5">
        <v>280.5</v>
      </c>
      <c r="AD51" s="5">
        <v>0</v>
      </c>
      <c r="AE51" s="5">
        <v>0</v>
      </c>
    </row>
    <row r="52">
      <c r="A52" s="2" t="str">
        <f>HYPERLINK("https://www.avito.ru/pestovo/uslugi/priem_metalloloma_priem_tsvetnogo_loma_8023269621","8023269621")</f>
      </c>
      <c r="B52" t="s">
        <v>48</v>
      </c>
      <c r="C52" t="s">
        <v>130</v>
      </c>
      <c r="D52" t="s">
        <v>131</v>
      </c>
      <c r="E52" t="s">
        <v>34</v>
      </c>
      <c r="F52" t="s">
        <v>35</v>
      </c>
      <c r="G52" t="s">
        <v>36</v>
      </c>
      <c r="H52" s="3" t="str">
        <f>HYPERLINK("https://www.avito.ru/pestovo/uslugi/priem_metalloloma_priem_tsvetnogo_loma_8023269621","Прием металлолома / Прием цветного лома")</f>
      </c>
      <c r="I52" t="s">
        <v>37</v>
      </c>
      <c r="J52" t="s">
        <v>38</v>
      </c>
      <c r="K52" t="s">
        <v>39</v>
      </c>
      <c r="L52">
        <v>4</v>
      </c>
      <c r="M52" t="s">
        <v>40</v>
      </c>
      <c r="N52">
        <v>63</v>
      </c>
      <c r="O52" s="4">
        <v>0.3015</v>
      </c>
      <c r="P52">
        <v>19</v>
      </c>
      <c r="Q52" s="5">
        <v>4.83</v>
      </c>
      <c r="R52" s="4">
        <v>0</v>
      </c>
      <c r="S52">
        <v>18</v>
      </c>
      <c r="T52">
        <v>0</v>
      </c>
      <c r="U52">
        <v>0</v>
      </c>
      <c r="V52">
        <v>0</v>
      </c>
      <c r="W52">
        <v>0</v>
      </c>
      <c r="X52">
        <v>0</v>
      </c>
      <c r="Y52" s="5" t="s">
        <v>40</v>
      </c>
      <c r="Z52">
        <v>0</v>
      </c>
      <c r="AA52" s="5">
        <v>91.8</v>
      </c>
      <c r="AB52" s="5">
        <v>0</v>
      </c>
      <c r="AC52" s="5">
        <v>91.8</v>
      </c>
      <c r="AD52" s="5">
        <v>0</v>
      </c>
      <c r="AE52" s="5">
        <v>0</v>
      </c>
    </row>
    <row r="53">
      <c r="A53" s="2" t="str">
        <f>HYPERLINK("https://www.avito.ru/podporozhe/uslugi/priem_tsvetnogo_metalloloma_8023840634","8023840634")</f>
      </c>
      <c r="B53" t="s">
        <v>73</v>
      </c>
      <c r="C53" t="s">
        <v>134</v>
      </c>
      <c r="D53" t="s">
        <v>134</v>
      </c>
      <c r="E53" t="s">
        <v>34</v>
      </c>
      <c r="F53" t="s">
        <v>35</v>
      </c>
      <c r="G53" t="s">
        <v>36</v>
      </c>
      <c r="H53" s="3" t="str">
        <f>HYPERLINK("https://www.avito.ru/podporozhe/uslugi/priem_tsvetnogo_metalloloma_8023840634","Прием цветного металлолома")</f>
      </c>
      <c r="I53" t="s">
        <v>37</v>
      </c>
      <c r="J53" t="s">
        <v>38</v>
      </c>
      <c r="K53" t="s">
        <v>39</v>
      </c>
      <c r="L53">
        <v>4</v>
      </c>
      <c r="M53" t="s">
        <v>40</v>
      </c>
      <c r="N53">
        <v>122</v>
      </c>
      <c r="O53" s="4">
        <v>0.1557</v>
      </c>
      <c r="P53">
        <v>19</v>
      </c>
      <c r="Q53" s="5">
        <v>18.7</v>
      </c>
      <c r="R53" s="4">
        <v>0.1052</v>
      </c>
      <c r="S53">
        <v>19</v>
      </c>
      <c r="T53">
        <v>2</v>
      </c>
      <c r="U53">
        <v>0</v>
      </c>
      <c r="V53">
        <v>2</v>
      </c>
      <c r="W53">
        <v>0</v>
      </c>
      <c r="X53">
        <v>0</v>
      </c>
      <c r="Y53" s="5">
        <v>177.65</v>
      </c>
      <c r="Z53">
        <v>1</v>
      </c>
      <c r="AA53" s="5">
        <v>355.3</v>
      </c>
      <c r="AB53" s="5">
        <v>0</v>
      </c>
      <c r="AC53" s="5">
        <v>355.3</v>
      </c>
      <c r="AD53" s="5">
        <v>0</v>
      </c>
      <c r="AE53" s="5">
        <v>0</v>
      </c>
    </row>
    <row r="54">
      <c r="A54" s="2" t="str">
        <f>HYPERLINK("https://www.avito.ru/nevel/uslugi/priem_i_vyvoz_metalloloma_samovyvoz_loma_8023848483","8023848483")</f>
      </c>
      <c r="B54" t="s">
        <v>31</v>
      </c>
      <c r="C54" t="s">
        <v>135</v>
      </c>
      <c r="D54" t="s">
        <v>136</v>
      </c>
      <c r="E54" t="s">
        <v>34</v>
      </c>
      <c r="F54" t="s">
        <v>35</v>
      </c>
      <c r="G54" t="s">
        <v>36</v>
      </c>
      <c r="H54" s="3" t="str">
        <f>HYPERLINK("https://www.avito.ru/nevel/uslugi/priem_i_vyvoz_metalloloma_samovyvoz_loma_8023848483","Прием и вывоз металлолома / Самовывоз лома")</f>
      </c>
      <c r="I54" t="s">
        <v>78</v>
      </c>
      <c r="J54" t="s">
        <v>38</v>
      </c>
      <c r="K54" t="s">
        <v>39</v>
      </c>
      <c r="L54">
        <v>4</v>
      </c>
      <c r="M54" t="s">
        <v>40</v>
      </c>
      <c r="N54">
        <v>60</v>
      </c>
      <c r="O54" s="4">
        <v>0.3166</v>
      </c>
      <c r="P54">
        <v>19</v>
      </c>
      <c r="Q54" s="5">
        <v>5.1</v>
      </c>
      <c r="R54" s="4">
        <v>0</v>
      </c>
      <c r="S54">
        <v>19</v>
      </c>
      <c r="T54">
        <v>0</v>
      </c>
      <c r="U54">
        <v>0</v>
      </c>
      <c r="V54">
        <v>0</v>
      </c>
      <c r="W54">
        <v>0</v>
      </c>
      <c r="X54">
        <v>0</v>
      </c>
      <c r="Y54" s="5" t="s">
        <v>40</v>
      </c>
      <c r="Z54">
        <v>0</v>
      </c>
      <c r="AA54" s="5">
        <v>96.9</v>
      </c>
      <c r="AB54" s="5">
        <v>0</v>
      </c>
      <c r="AC54" s="5">
        <v>96.9</v>
      </c>
      <c r="AD54" s="5">
        <v>0</v>
      </c>
      <c r="AE54" s="5">
        <v>0</v>
      </c>
    </row>
    <row r="55">
      <c r="A55" s="2" t="str">
        <f>HYPERLINK("https://www.avito.ru/sankt-peterburg/uslugi/priem_kabelya_sdat_kabel_sdat_provodku_7703090725","7703090725")</f>
      </c>
      <c r="B55" t="s">
        <v>55</v>
      </c>
      <c r="C55" t="s">
        <v>56</v>
      </c>
      <c r="D55" t="s">
        <v>108</v>
      </c>
      <c r="E55" t="s">
        <v>34</v>
      </c>
      <c r="F55" t="s">
        <v>35</v>
      </c>
      <c r="G55" t="s">
        <v>36</v>
      </c>
      <c r="H55" s="3" t="str">
        <f>HYPERLINK("https://www.avito.ru/sankt-peterburg/uslugi/priem_kabelya_sdat_kabel_sdat_provodku_7703090725","Прием кабеля / сдать кабель / сдать проводку")</f>
      </c>
      <c r="I55" t="s">
        <v>137</v>
      </c>
      <c r="J55" t="s">
        <v>138</v>
      </c>
      <c r="K55" t="s">
        <v>90</v>
      </c>
      <c r="L55">
        <v>169</v>
      </c>
      <c r="M55" t="s">
        <v>40</v>
      </c>
      <c r="N55">
        <v>133</v>
      </c>
      <c r="O55" s="4">
        <v>0.1353</v>
      </c>
      <c r="P55">
        <v>18</v>
      </c>
      <c r="Q55" s="5">
        <v>153.51</v>
      </c>
      <c r="R55" s="4">
        <v>0.1111</v>
      </c>
      <c r="S55">
        <v>17</v>
      </c>
      <c r="T55">
        <v>2</v>
      </c>
      <c r="U55">
        <v>2</v>
      </c>
      <c r="V55">
        <v>0</v>
      </c>
      <c r="W55">
        <v>0</v>
      </c>
      <c r="X55">
        <v>0</v>
      </c>
      <c r="Y55" s="5">
        <v>1381.6</v>
      </c>
      <c r="Z55">
        <v>0</v>
      </c>
      <c r="AA55" s="5">
        <v>2763.2</v>
      </c>
      <c r="AB55" s="5">
        <v>0</v>
      </c>
      <c r="AC55" s="5">
        <v>2763.2</v>
      </c>
      <c r="AD55" s="5">
        <v>0</v>
      </c>
      <c r="AE55" s="5">
        <v>0</v>
      </c>
    </row>
    <row r="56">
      <c r="A56" s="2" t="str">
        <f>HYPERLINK("https://www.avito.ru/vologodskaya_oblast_sokol/uslugi/priem_metalloloma_priem_chernogo_loma_opt_8023104988","8023104988")</f>
      </c>
      <c r="B56" t="s">
        <v>42</v>
      </c>
      <c r="C56" t="s">
        <v>100</v>
      </c>
      <c r="D56" t="s">
        <v>101</v>
      </c>
      <c r="E56" t="s">
        <v>34</v>
      </c>
      <c r="F56" t="s">
        <v>35</v>
      </c>
      <c r="G56" t="s">
        <v>36</v>
      </c>
      <c r="H56" s="3" t="str">
        <f>HYPERLINK("https://www.avito.ru/vologodskaya_oblast_sokol/uslugi/priem_metalloloma_priem_chernogo_loma_opt_8023104988","Прием металлолома / Прием черного лома опт")</f>
      </c>
      <c r="I56" t="s">
        <v>41</v>
      </c>
      <c r="J56" t="s">
        <v>38</v>
      </c>
      <c r="K56" t="s">
        <v>39</v>
      </c>
      <c r="L56">
        <v>4</v>
      </c>
      <c r="M56" t="s">
        <v>40</v>
      </c>
      <c r="N56">
        <v>71</v>
      </c>
      <c r="O56" s="4">
        <v>0.2535</v>
      </c>
      <c r="P56">
        <v>18</v>
      </c>
      <c r="Q56" s="5">
        <v>4.53</v>
      </c>
      <c r="R56" s="4">
        <v>0</v>
      </c>
      <c r="S56">
        <v>16</v>
      </c>
      <c r="T56">
        <v>0</v>
      </c>
      <c r="U56">
        <v>0</v>
      </c>
      <c r="V56">
        <v>0</v>
      </c>
      <c r="W56">
        <v>0</v>
      </c>
      <c r="X56">
        <v>0</v>
      </c>
      <c r="Y56" s="5" t="s">
        <v>40</v>
      </c>
      <c r="Z56">
        <v>0</v>
      </c>
      <c r="AA56" s="5">
        <v>81.6</v>
      </c>
      <c r="AB56" s="5">
        <v>0</v>
      </c>
      <c r="AC56" s="5">
        <v>81.6</v>
      </c>
      <c r="AD56" s="5">
        <v>0</v>
      </c>
      <c r="AE56" s="5">
        <v>0</v>
      </c>
    </row>
    <row r="57">
      <c r="A57" s="2" t="str">
        <f>HYPERLINK("https://www.avito.ru/sankt-peterburg/uslugi/priem_metalla_demontazh_priem_metalloloma_8023841120","8023841120")</f>
      </c>
      <c r="B57" t="s">
        <v>55</v>
      </c>
      <c r="C57" t="s">
        <v>56</v>
      </c>
      <c r="D57" t="s">
        <v>139</v>
      </c>
      <c r="E57" t="s">
        <v>34</v>
      </c>
      <c r="F57" t="s">
        <v>35</v>
      </c>
      <c r="G57" t="s">
        <v>36</v>
      </c>
      <c r="H57" s="3" t="str">
        <f>HYPERLINK("https://www.avito.ru/sankt-peterburg/uslugi/priem_metalla_demontazh_priem_metalloloma_8023841120","Прием металла / Демонтаж / Прием металлолома")</f>
      </c>
      <c r="I57" t="s">
        <v>85</v>
      </c>
      <c r="J57" t="s">
        <v>96</v>
      </c>
      <c r="K57" t="s">
        <v>69</v>
      </c>
      <c r="L57">
        <v>8</v>
      </c>
      <c r="M57" t="s">
        <v>40</v>
      </c>
      <c r="N57">
        <v>271</v>
      </c>
      <c r="O57" s="4">
        <v>0.0664</v>
      </c>
      <c r="P57">
        <v>18</v>
      </c>
      <c r="Q57" s="5">
        <v>136.95</v>
      </c>
      <c r="R57" s="4">
        <v>0.2222</v>
      </c>
      <c r="S57">
        <v>17</v>
      </c>
      <c r="T57">
        <v>4</v>
      </c>
      <c r="U57">
        <v>3</v>
      </c>
      <c r="V57">
        <v>1</v>
      </c>
      <c r="W57">
        <v>0</v>
      </c>
      <c r="X57">
        <v>0</v>
      </c>
      <c r="Y57" s="5">
        <v>616.3</v>
      </c>
      <c r="Z57">
        <v>0</v>
      </c>
      <c r="AA57" s="5">
        <v>2465.2</v>
      </c>
      <c r="AB57" s="5">
        <v>0</v>
      </c>
      <c r="AC57" s="5">
        <v>2465.2</v>
      </c>
      <c r="AD57" s="5">
        <v>0</v>
      </c>
      <c r="AE57" s="5">
        <v>0</v>
      </c>
    </row>
    <row r="58">
      <c r="A58" s="2" t="str">
        <f>HYPERLINK("https://www.avito.ru/pskov/uslugi/priem_metalla_demontazh_priem_metalloloma_8023197482","8023197482")</f>
      </c>
      <c r="B58" t="s">
        <v>31</v>
      </c>
      <c r="C58" t="s">
        <v>76</v>
      </c>
      <c r="D58" t="s">
        <v>77</v>
      </c>
      <c r="E58" t="s">
        <v>34</v>
      </c>
      <c r="F58" t="s">
        <v>35</v>
      </c>
      <c r="G58" t="s">
        <v>36</v>
      </c>
      <c r="H58" s="3" t="str">
        <f>HYPERLINK("https://www.avito.ru/pskov/uslugi/priem_metalla_demontazh_priem_metalloloma_8023197482","Прием металла / Демонтаж / Прием металлолома")</f>
      </c>
      <c r="I58" t="s">
        <v>78</v>
      </c>
      <c r="J58" t="s">
        <v>38</v>
      </c>
      <c r="K58" t="s">
        <v>39</v>
      </c>
      <c r="L58">
        <v>4</v>
      </c>
      <c r="M58" t="s">
        <v>40</v>
      </c>
      <c r="N58">
        <v>139</v>
      </c>
      <c r="O58" s="4">
        <v>0.1223</v>
      </c>
      <c r="P58">
        <v>17</v>
      </c>
      <c r="Q58" s="5">
        <v>5.1</v>
      </c>
      <c r="R58" s="4">
        <v>0</v>
      </c>
      <c r="S58">
        <v>17</v>
      </c>
      <c r="T58">
        <v>0</v>
      </c>
      <c r="U58">
        <v>0</v>
      </c>
      <c r="V58">
        <v>0</v>
      </c>
      <c r="W58">
        <v>0</v>
      </c>
      <c r="X58">
        <v>0</v>
      </c>
      <c r="Y58" s="5" t="s">
        <v>40</v>
      </c>
      <c r="Z58">
        <v>1</v>
      </c>
      <c r="AA58" s="5">
        <v>86.7</v>
      </c>
      <c r="AB58" s="5">
        <v>0</v>
      </c>
      <c r="AC58" s="5">
        <v>86.7</v>
      </c>
      <c r="AD58" s="5">
        <v>0</v>
      </c>
      <c r="AE58" s="5">
        <v>0</v>
      </c>
    </row>
    <row r="59">
      <c r="A59" s="2" t="str">
        <f>HYPERLINK("https://www.avito.ru/valday/uslugi/priem_metalloloma_skupka_metalla_8023435398","8023435398")</f>
      </c>
      <c r="B59" t="s">
        <v>48</v>
      </c>
      <c r="C59" t="s">
        <v>63</v>
      </c>
      <c r="D59" t="s">
        <v>64</v>
      </c>
      <c r="E59" t="s">
        <v>34</v>
      </c>
      <c r="F59" t="s">
        <v>35</v>
      </c>
      <c r="G59" t="s">
        <v>36</v>
      </c>
      <c r="H59" s="3" t="str">
        <f>HYPERLINK("https://www.avito.ru/valday/uslugi/priem_metalloloma_skupka_metalla_8023435398","Прием металлолома / Скупка металла")</f>
      </c>
      <c r="I59" t="s">
        <v>78</v>
      </c>
      <c r="J59" t="s">
        <v>38</v>
      </c>
      <c r="K59" t="s">
        <v>39</v>
      </c>
      <c r="L59">
        <v>4</v>
      </c>
      <c r="M59" t="s">
        <v>40</v>
      </c>
      <c r="N59">
        <v>71</v>
      </c>
      <c r="O59" s="4">
        <v>0.2394</v>
      </c>
      <c r="P59">
        <v>17</v>
      </c>
      <c r="Q59" s="5">
        <v>4.8</v>
      </c>
      <c r="R59" s="4">
        <v>0</v>
      </c>
      <c r="S59">
        <v>16</v>
      </c>
      <c r="T59">
        <v>0</v>
      </c>
      <c r="U59">
        <v>0</v>
      </c>
      <c r="V59">
        <v>0</v>
      </c>
      <c r="W59">
        <v>0</v>
      </c>
      <c r="X59">
        <v>0</v>
      </c>
      <c r="Y59" s="5" t="s">
        <v>40</v>
      </c>
      <c r="Z59">
        <v>0</v>
      </c>
      <c r="AA59" s="5">
        <v>81.6</v>
      </c>
      <c r="AB59" s="5">
        <v>0</v>
      </c>
      <c r="AC59" s="5">
        <v>81.6</v>
      </c>
      <c r="AD59" s="5">
        <v>0</v>
      </c>
      <c r="AE59" s="5">
        <v>0</v>
      </c>
    </row>
    <row r="60">
      <c r="A60" s="2" t="str">
        <f>HYPERLINK("https://www.avito.ru/ostrov/uslugi/priem_metalloloma_priem_chernogo_loma_opt_8023710211","8023710211")</f>
      </c>
      <c r="B60" t="s">
        <v>31</v>
      </c>
      <c r="C60" t="s">
        <v>61</v>
      </c>
      <c r="D60" t="s">
        <v>62</v>
      </c>
      <c r="E60" t="s">
        <v>34</v>
      </c>
      <c r="F60" t="s">
        <v>35</v>
      </c>
      <c r="G60" t="s">
        <v>36</v>
      </c>
      <c r="H60" s="3" t="str">
        <f>HYPERLINK("https://www.avito.ru/ostrov/uslugi/priem_metalloloma_priem_chernogo_loma_opt_8023710211","Прием металлолома / Прием черного лома опт")</f>
      </c>
      <c r="I60" t="s">
        <v>65</v>
      </c>
      <c r="J60" t="s">
        <v>38</v>
      </c>
      <c r="K60" t="s">
        <v>39</v>
      </c>
      <c r="L60">
        <v>4</v>
      </c>
      <c r="M60" t="s">
        <v>40</v>
      </c>
      <c r="N60">
        <v>63</v>
      </c>
      <c r="O60" s="4">
        <v>0.2698</v>
      </c>
      <c r="P60">
        <v>17</v>
      </c>
      <c r="Q60" s="5">
        <v>5.1</v>
      </c>
      <c r="R60" s="4">
        <v>0</v>
      </c>
      <c r="S60">
        <v>17</v>
      </c>
      <c r="T60">
        <v>0</v>
      </c>
      <c r="U60">
        <v>0</v>
      </c>
      <c r="V60">
        <v>0</v>
      </c>
      <c r="W60">
        <v>0</v>
      </c>
      <c r="X60">
        <v>0</v>
      </c>
      <c r="Y60" s="5" t="s">
        <v>40</v>
      </c>
      <c r="Z60">
        <v>0</v>
      </c>
      <c r="AA60" s="5">
        <v>86.7</v>
      </c>
      <c r="AB60" s="5">
        <v>0</v>
      </c>
      <c r="AC60" s="5">
        <v>86.7</v>
      </c>
      <c r="AD60" s="5">
        <v>0</v>
      </c>
      <c r="AE60" s="5">
        <v>0</v>
      </c>
    </row>
    <row r="61">
      <c r="A61" s="2" t="str">
        <f>HYPERLINK("https://www.avito.ru/sankt-peterburg/uslugi/priem_loma_priem_tsvetnogo_loma_priem_chermeta_8023507126","8023507126")</f>
      </c>
      <c r="B61" t="s">
        <v>55</v>
      </c>
      <c r="C61" t="s">
        <v>56</v>
      </c>
      <c r="D61" t="s">
        <v>97</v>
      </c>
      <c r="E61" t="s">
        <v>34</v>
      </c>
      <c r="F61" t="s">
        <v>35</v>
      </c>
      <c r="G61" t="s">
        <v>36</v>
      </c>
      <c r="H61" s="3" t="str">
        <f>HYPERLINK("https://www.avito.ru/sankt-peterburg/uslugi/priem_loma_priem_tsvetnogo_loma_priem_chermeta_8023507126","Прием лома / Прием цветного лома / Прием чермета")</f>
      </c>
      <c r="I61" t="s">
        <v>95</v>
      </c>
      <c r="J61" t="s">
        <v>96</v>
      </c>
      <c r="K61" t="s">
        <v>69</v>
      </c>
      <c r="L61">
        <v>8</v>
      </c>
      <c r="M61" t="s">
        <v>40</v>
      </c>
      <c r="N61">
        <v>194</v>
      </c>
      <c r="O61" s="4">
        <v>0.0824</v>
      </c>
      <c r="P61">
        <v>16</v>
      </c>
      <c r="Q61" s="5">
        <v>145.55</v>
      </c>
      <c r="R61" s="4">
        <v>0.0625</v>
      </c>
      <c r="S61">
        <v>16</v>
      </c>
      <c r="T61">
        <v>1</v>
      </c>
      <c r="U61">
        <v>0</v>
      </c>
      <c r="V61">
        <v>1</v>
      </c>
      <c r="W61">
        <v>0</v>
      </c>
      <c r="X61">
        <v>0</v>
      </c>
      <c r="Y61" s="5">
        <v>2328.8</v>
      </c>
      <c r="Z61">
        <v>0</v>
      </c>
      <c r="AA61" s="5">
        <v>2328.8</v>
      </c>
      <c r="AB61" s="5">
        <v>0</v>
      </c>
      <c r="AC61" s="5">
        <v>2328.8</v>
      </c>
      <c r="AD61" s="5">
        <v>0</v>
      </c>
      <c r="AE61" s="5">
        <v>0</v>
      </c>
    </row>
    <row r="62">
      <c r="A62" s="2" t="str">
        <f>HYPERLINK("https://www.avito.ru/volhov/uslugi/priem_metalloloma_priem_chernogo_loma_8023774305","8023774305")</f>
      </c>
      <c r="B62" t="s">
        <v>73</v>
      </c>
      <c r="C62" t="s">
        <v>140</v>
      </c>
      <c r="D62" t="s">
        <v>141</v>
      </c>
      <c r="E62" t="s">
        <v>34</v>
      </c>
      <c r="F62" t="s">
        <v>35</v>
      </c>
      <c r="G62" t="s">
        <v>36</v>
      </c>
      <c r="H62" s="3" t="str">
        <f>HYPERLINK("https://www.avito.ru/volhov/uslugi/priem_metalloloma_priem_chernogo_loma_8023774305","Прием металлолома / Прием черного лома")</f>
      </c>
      <c r="I62" t="s">
        <v>65</v>
      </c>
      <c r="J62" t="s">
        <v>38</v>
      </c>
      <c r="K62" t="s">
        <v>39</v>
      </c>
      <c r="L62">
        <v>4</v>
      </c>
      <c r="M62" t="s">
        <v>40</v>
      </c>
      <c r="N62">
        <v>64</v>
      </c>
      <c r="O62" s="4">
        <v>0.25</v>
      </c>
      <c r="P62">
        <v>16</v>
      </c>
      <c r="Q62" s="5">
        <v>17.53</v>
      </c>
      <c r="R62" s="4">
        <v>0</v>
      </c>
      <c r="S62">
        <v>15</v>
      </c>
      <c r="T62">
        <v>0</v>
      </c>
      <c r="U62">
        <v>0</v>
      </c>
      <c r="V62">
        <v>0</v>
      </c>
      <c r="W62">
        <v>0</v>
      </c>
      <c r="X62">
        <v>0</v>
      </c>
      <c r="Y62" s="5" t="s">
        <v>40</v>
      </c>
      <c r="Z62">
        <v>0</v>
      </c>
      <c r="AA62" s="5">
        <v>280.5</v>
      </c>
      <c r="AB62" s="5">
        <v>0</v>
      </c>
      <c r="AC62" s="5">
        <v>280.5</v>
      </c>
      <c r="AD62" s="5">
        <v>0</v>
      </c>
      <c r="AE62" s="5">
        <v>0</v>
      </c>
    </row>
    <row r="63">
      <c r="A63" s="2" t="str">
        <f>HYPERLINK("https://www.avito.ru/sankt-peterburg/uslugi/demontazh_snos_zdaniy_metallokonstruktsiy_7735781826","7735781826")</f>
      </c>
      <c r="B63" t="s">
        <v>55</v>
      </c>
      <c r="C63" t="s">
        <v>56</v>
      </c>
      <c r="D63" t="s">
        <v>57</v>
      </c>
      <c r="E63" t="s">
        <v>34</v>
      </c>
      <c r="F63" t="s">
        <v>35</v>
      </c>
      <c r="G63" t="s">
        <v>142</v>
      </c>
      <c r="H63" s="3" t="str">
        <f>HYPERLINK("https://www.avito.ru/sankt-peterburg/uslugi/demontazh_snos_zdaniy_metallokonstruktsiy_7735781826","Демонтаж / Снос зданий / Металлоконструкций")</f>
      </c>
      <c r="I63" t="s">
        <v>143</v>
      </c>
      <c r="J63" t="s">
        <v>144</v>
      </c>
      <c r="K63" t="s">
        <v>129</v>
      </c>
      <c r="L63">
        <v>156</v>
      </c>
      <c r="M63" t="s">
        <v>40</v>
      </c>
      <c r="N63">
        <v>148</v>
      </c>
      <c r="O63" s="4">
        <v>0.1013</v>
      </c>
      <c r="P63">
        <v>15</v>
      </c>
      <c r="Q63" s="5">
        <v>268.09</v>
      </c>
      <c r="R63" s="4">
        <v>0.1333</v>
      </c>
      <c r="S63">
        <v>15</v>
      </c>
      <c r="T63">
        <v>2</v>
      </c>
      <c r="U63">
        <v>1</v>
      </c>
      <c r="V63">
        <v>1</v>
      </c>
      <c r="W63">
        <v>0</v>
      </c>
      <c r="X63">
        <v>0</v>
      </c>
      <c r="Y63" s="5">
        <v>2010.71</v>
      </c>
      <c r="Z63">
        <v>0</v>
      </c>
      <c r="AA63" s="5">
        <v>4021.42</v>
      </c>
      <c r="AB63" s="5">
        <v>0</v>
      </c>
      <c r="AC63" s="5">
        <v>3754</v>
      </c>
      <c r="AD63" s="5">
        <v>267.42</v>
      </c>
      <c r="AE63" s="5">
        <v>0</v>
      </c>
    </row>
    <row r="64">
      <c r="A64" s="2" t="str">
        <f>HYPERLINK("https://www.avito.ru/staraya_russa/uslugi/priem_loma_priem_tsvetnogo_loma_priem_chermeta_8023108025","8023108025")</f>
      </c>
      <c r="B64" t="s">
        <v>48</v>
      </c>
      <c r="C64" t="s">
        <v>49</v>
      </c>
      <c r="D64" t="s">
        <v>50</v>
      </c>
      <c r="E64" t="s">
        <v>34</v>
      </c>
      <c r="F64" t="s">
        <v>35</v>
      </c>
      <c r="G64" t="s">
        <v>36</v>
      </c>
      <c r="H64" s="3" t="str">
        <f>HYPERLINK("https://www.avito.ru/staraya_russa/uslugi/priem_loma_priem_tsvetnogo_loma_priem_chermeta_8023108025","Прием лома / Прием цветного лома / Прием чермета")</f>
      </c>
      <c r="I64" t="s">
        <v>85</v>
      </c>
      <c r="J64" t="s">
        <v>123</v>
      </c>
      <c r="K64" t="s">
        <v>124</v>
      </c>
      <c r="L64">
        <v>1</v>
      </c>
      <c r="M64" t="s">
        <v>40</v>
      </c>
      <c r="N64">
        <v>55</v>
      </c>
      <c r="O64" s="4">
        <v>0.2727</v>
      </c>
      <c r="P64">
        <v>15</v>
      </c>
      <c r="Q64" s="5">
        <v>4.42</v>
      </c>
      <c r="R64" s="4">
        <v>0</v>
      </c>
      <c r="S64">
        <v>13</v>
      </c>
      <c r="T64">
        <v>0</v>
      </c>
      <c r="U64">
        <v>0</v>
      </c>
      <c r="V64">
        <v>0</v>
      </c>
      <c r="W64">
        <v>0</v>
      </c>
      <c r="X64">
        <v>0</v>
      </c>
      <c r="Y64" s="5" t="s">
        <v>40</v>
      </c>
      <c r="Z64">
        <v>0</v>
      </c>
      <c r="AA64" s="5">
        <v>66.3</v>
      </c>
      <c r="AB64" s="5">
        <v>0</v>
      </c>
      <c r="AC64" s="5">
        <v>66.3</v>
      </c>
      <c r="AD64" s="5">
        <v>0</v>
      </c>
      <c r="AE64" s="5">
        <v>0</v>
      </c>
    </row>
    <row r="65">
      <c r="A65" s="2" t="str">
        <f>HYPERLINK("https://www.avito.ru/velikiy_ustyug/uslugi/priem_metalla_sdat_lom_vyvoz_loma_8023566447","8023566447")</f>
      </c>
      <c r="B65" t="s">
        <v>42</v>
      </c>
      <c r="C65" t="s">
        <v>43</v>
      </c>
      <c r="D65" t="s">
        <v>44</v>
      </c>
      <c r="E65" t="s">
        <v>34</v>
      </c>
      <c r="F65" t="s">
        <v>35</v>
      </c>
      <c r="G65" t="s">
        <v>36</v>
      </c>
      <c r="H65" s="3" t="str">
        <f>HYPERLINK("https://www.avito.ru/velikiy_ustyug/uslugi/priem_metalla_sdat_lom_vyvoz_loma_8023566447","Приём металла /Сдать лом / Вывоз лома")</f>
      </c>
      <c r="I65" t="s">
        <v>78</v>
      </c>
      <c r="J65" t="s">
        <v>38</v>
      </c>
      <c r="K65" t="s">
        <v>39</v>
      </c>
      <c r="L65">
        <v>4</v>
      </c>
      <c r="M65" t="s">
        <v>40</v>
      </c>
      <c r="N65">
        <v>67</v>
      </c>
      <c r="O65" s="4">
        <v>0.2238</v>
      </c>
      <c r="P65">
        <v>15</v>
      </c>
      <c r="Q65" s="5">
        <v>4.76</v>
      </c>
      <c r="R65" s="4">
        <v>0</v>
      </c>
      <c r="S65">
        <v>14</v>
      </c>
      <c r="T65">
        <v>0</v>
      </c>
      <c r="U65">
        <v>0</v>
      </c>
      <c r="V65">
        <v>0</v>
      </c>
      <c r="W65">
        <v>0</v>
      </c>
      <c r="X65">
        <v>0</v>
      </c>
      <c r="Y65" s="5" t="s">
        <v>40</v>
      </c>
      <c r="Z65">
        <v>0</v>
      </c>
      <c r="AA65" s="5">
        <v>71.4</v>
      </c>
      <c r="AB65" s="5">
        <v>0</v>
      </c>
      <c r="AC65" s="5">
        <v>71.4</v>
      </c>
      <c r="AD65" s="5">
        <v>0</v>
      </c>
      <c r="AE65" s="5">
        <v>0</v>
      </c>
    </row>
    <row r="66">
      <c r="A66" s="2" t="str">
        <f>HYPERLINK("https://www.avito.ru/velikiy_novgorod/uslugi/priem_loma_priem_tsvetnogo_loma_priem_chermeta_8023655536","8023655536")</f>
      </c>
      <c r="B66" t="s">
        <v>48</v>
      </c>
      <c r="C66" t="s">
        <v>126</v>
      </c>
      <c r="D66" t="s">
        <v>127</v>
      </c>
      <c r="E66" t="s">
        <v>34</v>
      </c>
      <c r="F66" t="s">
        <v>35</v>
      </c>
      <c r="G66" t="s">
        <v>36</v>
      </c>
      <c r="H66" s="3" t="str">
        <f>HYPERLINK("https://www.avito.ru/velikiy_novgorod/uslugi/priem_loma_priem_tsvetnogo_loma_priem_chermeta_8023655536","Прием лома / Прием цветного лома / Прием чермета")</f>
      </c>
      <c r="I66" t="s">
        <v>78</v>
      </c>
      <c r="J66" t="s">
        <v>38</v>
      </c>
      <c r="K66" t="s">
        <v>39</v>
      </c>
      <c r="L66">
        <v>4</v>
      </c>
      <c r="M66" t="s">
        <v>40</v>
      </c>
      <c r="N66">
        <v>75</v>
      </c>
      <c r="O66" s="4">
        <v>0.2</v>
      </c>
      <c r="P66">
        <v>15</v>
      </c>
      <c r="Q66" s="5">
        <v>4.76</v>
      </c>
      <c r="R66" s="4">
        <v>0</v>
      </c>
      <c r="S66">
        <v>14</v>
      </c>
      <c r="T66">
        <v>0</v>
      </c>
      <c r="U66">
        <v>0</v>
      </c>
      <c r="V66">
        <v>0</v>
      </c>
      <c r="W66">
        <v>0</v>
      </c>
      <c r="X66">
        <v>0</v>
      </c>
      <c r="Y66" s="5" t="s">
        <v>40</v>
      </c>
      <c r="Z66">
        <v>0</v>
      </c>
      <c r="AA66" s="5">
        <v>71.4</v>
      </c>
      <c r="AB66" s="5">
        <v>0</v>
      </c>
      <c r="AC66" s="5">
        <v>71.4</v>
      </c>
      <c r="AD66" s="5">
        <v>0</v>
      </c>
      <c r="AE66" s="5">
        <v>0</v>
      </c>
    </row>
    <row r="67">
      <c r="A67" s="2" t="str">
        <f>HYPERLINK("https://www.avito.ru/sankt-peterburg/uslugi/sdat_olovyannyy_pripoy_sdat_olovo_7703399321","7703399321")</f>
      </c>
      <c r="B67" t="s">
        <v>55</v>
      </c>
      <c r="C67" t="s">
        <v>56</v>
      </c>
      <c r="D67" t="s">
        <v>145</v>
      </c>
      <c r="E67" t="s">
        <v>34</v>
      </c>
      <c r="F67" t="s">
        <v>35</v>
      </c>
      <c r="G67" t="s">
        <v>36</v>
      </c>
      <c r="H67" s="3" t="str">
        <f>HYPERLINK("https://www.avito.ru/sankt-peterburg/uslugi/sdat_olovyannyy_pripoy_sdat_olovo_7703399321","Сдать Оловянный Припой / Сдать Олово")</f>
      </c>
      <c r="I67" t="s">
        <v>146</v>
      </c>
      <c r="J67" t="s">
        <v>138</v>
      </c>
      <c r="K67" t="s">
        <v>90</v>
      </c>
      <c r="L67">
        <v>169</v>
      </c>
      <c r="M67" t="s">
        <v>40</v>
      </c>
      <c r="N67">
        <v>34</v>
      </c>
      <c r="O67" s="4">
        <v>0.4117</v>
      </c>
      <c r="P67">
        <v>14</v>
      </c>
      <c r="Q67" s="5">
        <v>17.48</v>
      </c>
      <c r="R67" s="4">
        <v>0.0714</v>
      </c>
      <c r="S67">
        <v>12</v>
      </c>
      <c r="T67">
        <v>1</v>
      </c>
      <c r="U67">
        <v>1</v>
      </c>
      <c r="V67">
        <v>0</v>
      </c>
      <c r="W67">
        <v>0</v>
      </c>
      <c r="X67">
        <v>0</v>
      </c>
      <c r="Y67" s="5">
        <v>244.8</v>
      </c>
      <c r="Z67">
        <v>0</v>
      </c>
      <c r="AA67" s="5">
        <v>244.8</v>
      </c>
      <c r="AB67" s="5">
        <v>0</v>
      </c>
      <c r="AC67" s="5">
        <v>244.8</v>
      </c>
      <c r="AD67" s="5">
        <v>0</v>
      </c>
      <c r="AE67" s="5">
        <v>0</v>
      </c>
    </row>
    <row r="68">
      <c r="A68" s="2" t="str">
        <f>HYPERLINK("https://www.avito.ru/nevel/uslugi/priem_metalloloma_vyvoz_metalloloma_8023260930","8023260930")</f>
      </c>
      <c r="B68" t="s">
        <v>31</v>
      </c>
      <c r="C68" t="s">
        <v>135</v>
      </c>
      <c r="D68" t="s">
        <v>136</v>
      </c>
      <c r="E68" t="s">
        <v>34</v>
      </c>
      <c r="F68" t="s">
        <v>35</v>
      </c>
      <c r="G68" t="s">
        <v>36</v>
      </c>
      <c r="H68" s="3" t="str">
        <f>HYPERLINK("https://www.avito.ru/nevel/uslugi/priem_metalloloma_vyvoz_metalloloma_8023260930","Прием металлолома/ Вывоз металлолома")</f>
      </c>
      <c r="I68" t="s">
        <v>85</v>
      </c>
      <c r="J68" t="s">
        <v>147</v>
      </c>
      <c r="K68" t="s">
        <v>148</v>
      </c>
      <c r="L68">
        <v>3</v>
      </c>
      <c r="M68" t="s">
        <v>40</v>
      </c>
      <c r="N68">
        <v>63</v>
      </c>
      <c r="O68" s="4">
        <v>0.2222</v>
      </c>
      <c r="P68">
        <v>14</v>
      </c>
      <c r="Q68" s="5">
        <v>4.73</v>
      </c>
      <c r="R68" s="4">
        <v>0</v>
      </c>
      <c r="S68">
        <v>13</v>
      </c>
      <c r="T68">
        <v>0</v>
      </c>
      <c r="U68">
        <v>0</v>
      </c>
      <c r="V68">
        <v>0</v>
      </c>
      <c r="W68">
        <v>0</v>
      </c>
      <c r="X68">
        <v>0</v>
      </c>
      <c r="Y68" s="5" t="s">
        <v>40</v>
      </c>
      <c r="Z68">
        <v>0</v>
      </c>
      <c r="AA68" s="5">
        <v>66.3</v>
      </c>
      <c r="AB68" s="5">
        <v>0</v>
      </c>
      <c r="AC68" s="5">
        <v>66.3</v>
      </c>
      <c r="AD68" s="5">
        <v>0</v>
      </c>
      <c r="AE68" s="5">
        <v>0</v>
      </c>
    </row>
    <row r="69">
      <c r="A69" s="2" t="str">
        <f>HYPERLINK("https://www.avito.ru/novodvinsk/uslugi/priem_metalloloma_priem_chernogo_loma_8023712712","8023712712")</f>
      </c>
      <c r="B69" t="s">
        <v>116</v>
      </c>
      <c r="C69" t="s">
        <v>149</v>
      </c>
      <c r="D69" t="s">
        <v>150</v>
      </c>
      <c r="E69" t="s">
        <v>34</v>
      </c>
      <c r="F69" t="s">
        <v>35</v>
      </c>
      <c r="G69" t="s">
        <v>36</v>
      </c>
      <c r="H69" s="3" t="str">
        <f>HYPERLINK("https://www.avito.ru/novodvinsk/uslugi/priem_metalloloma_priem_chernogo_loma_8023712712","Прием металлолома / Прием черного лома")</f>
      </c>
      <c r="I69" t="s">
        <v>72</v>
      </c>
      <c r="J69" t="s">
        <v>38</v>
      </c>
      <c r="K69" t="s">
        <v>39</v>
      </c>
      <c r="L69">
        <v>4</v>
      </c>
      <c r="M69" t="s">
        <v>40</v>
      </c>
      <c r="N69">
        <v>60</v>
      </c>
      <c r="O69" s="4">
        <v>0.2333</v>
      </c>
      <c r="P69">
        <v>14</v>
      </c>
      <c r="Q69" s="5">
        <v>4.73</v>
      </c>
      <c r="R69" s="4">
        <v>0</v>
      </c>
      <c r="S69">
        <v>13</v>
      </c>
      <c r="T69">
        <v>0</v>
      </c>
      <c r="U69">
        <v>0</v>
      </c>
      <c r="V69">
        <v>0</v>
      </c>
      <c r="W69">
        <v>0</v>
      </c>
      <c r="X69">
        <v>0</v>
      </c>
      <c r="Y69" s="5" t="s">
        <v>40</v>
      </c>
      <c r="Z69">
        <v>0</v>
      </c>
      <c r="AA69" s="5">
        <v>66.3</v>
      </c>
      <c r="AB69" s="5">
        <v>0</v>
      </c>
      <c r="AC69" s="5">
        <v>66.3</v>
      </c>
      <c r="AD69" s="5">
        <v>0</v>
      </c>
      <c r="AE69" s="5">
        <v>0</v>
      </c>
    </row>
    <row r="70">
      <c r="A70" s="2" t="str">
        <f>HYPERLINK("https://www.avito.ru/sankt-peterburg/uslugi/priem_metalloloma_skupka_metalla_8023361448","8023361448")</f>
      </c>
      <c r="B70" t="s">
        <v>55</v>
      </c>
      <c r="C70" t="s">
        <v>56</v>
      </c>
      <c r="D70" t="s">
        <v>84</v>
      </c>
      <c r="E70" t="s">
        <v>34</v>
      </c>
      <c r="F70" t="s">
        <v>35</v>
      </c>
      <c r="G70" t="s">
        <v>36</v>
      </c>
      <c r="H70" s="3" t="str">
        <f>HYPERLINK("https://www.avito.ru/sankt-peterburg/uslugi/priem_metalloloma_skupka_metalla_8023361448","Прием металлолома / Скупка металла")</f>
      </c>
      <c r="I70" t="s">
        <v>151</v>
      </c>
      <c r="J70" t="s">
        <v>111</v>
      </c>
      <c r="K70" t="s">
        <v>112</v>
      </c>
      <c r="L70">
        <v>5</v>
      </c>
      <c r="M70" t="s">
        <v>40</v>
      </c>
      <c r="N70">
        <v>205</v>
      </c>
      <c r="O70" s="4">
        <v>0.0634</v>
      </c>
      <c r="P70">
        <v>13</v>
      </c>
      <c r="Q70" s="5">
        <v>17.26</v>
      </c>
      <c r="R70" s="4">
        <v>0</v>
      </c>
      <c r="S70">
        <v>11</v>
      </c>
      <c r="T70">
        <v>0</v>
      </c>
      <c r="U70">
        <v>0</v>
      </c>
      <c r="V70">
        <v>0</v>
      </c>
      <c r="W70">
        <v>0</v>
      </c>
      <c r="X70">
        <v>0</v>
      </c>
      <c r="Y70" s="5" t="s">
        <v>40</v>
      </c>
      <c r="Z70">
        <v>0</v>
      </c>
      <c r="AA70" s="5">
        <v>224.4</v>
      </c>
      <c r="AB70" s="5">
        <v>0</v>
      </c>
      <c r="AC70" s="5">
        <v>224.4</v>
      </c>
      <c r="AD70" s="5">
        <v>0</v>
      </c>
      <c r="AE70" s="5">
        <v>0</v>
      </c>
    </row>
    <row r="71">
      <c r="A71" s="2" t="str">
        <f>HYPERLINK("https://www.avito.ru/novodvinsk/uslugi/priem_metalla_demontazh_priem_metalloloma_8023575004","8023575004")</f>
      </c>
      <c r="B71" t="s">
        <v>116</v>
      </c>
      <c r="C71" t="s">
        <v>149</v>
      </c>
      <c r="D71" t="s">
        <v>150</v>
      </c>
      <c r="E71" t="s">
        <v>34</v>
      </c>
      <c r="F71" t="s">
        <v>35</v>
      </c>
      <c r="G71" t="s">
        <v>36</v>
      </c>
      <c r="H71" s="3" t="str">
        <f>HYPERLINK("https://www.avito.ru/novodvinsk/uslugi/priem_metalla_demontazh_priem_metalloloma_8023575004","Прием металла / Демонтаж / Прием металлолома")</f>
      </c>
      <c r="I71" t="s">
        <v>85</v>
      </c>
      <c r="J71" t="s">
        <v>152</v>
      </c>
      <c r="K71" t="s">
        <v>153</v>
      </c>
      <c r="L71">
        <v>2</v>
      </c>
      <c r="M71" t="s">
        <v>40</v>
      </c>
      <c r="N71">
        <v>101</v>
      </c>
      <c r="O71" s="4">
        <v>0.1287</v>
      </c>
      <c r="P71">
        <v>13</v>
      </c>
      <c r="Q71" s="5">
        <v>5.1</v>
      </c>
      <c r="R71" s="4">
        <v>0.0769</v>
      </c>
      <c r="S71">
        <v>13</v>
      </c>
      <c r="T71">
        <v>1</v>
      </c>
      <c r="U71">
        <v>0</v>
      </c>
      <c r="V71">
        <v>1</v>
      </c>
      <c r="W71">
        <v>0</v>
      </c>
      <c r="X71">
        <v>0</v>
      </c>
      <c r="Y71" s="5">
        <v>66.3</v>
      </c>
      <c r="Z71">
        <v>1</v>
      </c>
      <c r="AA71" s="5">
        <v>66.3</v>
      </c>
      <c r="AB71" s="5">
        <v>0</v>
      </c>
      <c r="AC71" s="5">
        <v>66.3</v>
      </c>
      <c r="AD71" s="5">
        <v>0</v>
      </c>
      <c r="AE71" s="5">
        <v>0</v>
      </c>
    </row>
    <row r="72">
      <c r="A72" s="2" t="str">
        <f>HYPERLINK("https://www.avito.ru/volhov/uslugi/priem_metalloloma_priem_tsvetnogo_loma_8023852082","8023852082")</f>
      </c>
      <c r="B72" t="s">
        <v>73</v>
      </c>
      <c r="C72" t="s">
        <v>140</v>
      </c>
      <c r="D72" t="s">
        <v>141</v>
      </c>
      <c r="E72" t="s">
        <v>34</v>
      </c>
      <c r="F72" t="s">
        <v>35</v>
      </c>
      <c r="G72" t="s">
        <v>36</v>
      </c>
      <c r="H72" s="3" t="str">
        <f>HYPERLINK("https://www.avito.ru/volhov/uslugi/priem_metalloloma_priem_tsvetnogo_loma_8023852082","Прием металлолома / Прием цветного лома")</f>
      </c>
      <c r="I72" t="s">
        <v>37</v>
      </c>
      <c r="J72" t="s">
        <v>38</v>
      </c>
      <c r="K72" t="s">
        <v>39</v>
      </c>
      <c r="L72">
        <v>4</v>
      </c>
      <c r="M72" t="s">
        <v>40</v>
      </c>
      <c r="N72">
        <v>98</v>
      </c>
      <c r="O72" s="4">
        <v>0.1326</v>
      </c>
      <c r="P72">
        <v>13</v>
      </c>
      <c r="Q72" s="5">
        <v>18.7</v>
      </c>
      <c r="R72" s="4">
        <v>0</v>
      </c>
      <c r="S72">
        <v>13</v>
      </c>
      <c r="T72">
        <v>0</v>
      </c>
      <c r="U72">
        <v>0</v>
      </c>
      <c r="V72">
        <v>0</v>
      </c>
      <c r="W72">
        <v>0</v>
      </c>
      <c r="X72">
        <v>0</v>
      </c>
      <c r="Y72" s="5" t="s">
        <v>40</v>
      </c>
      <c r="Z72">
        <v>1</v>
      </c>
      <c r="AA72" s="5">
        <v>243.1</v>
      </c>
      <c r="AB72" s="5">
        <v>0</v>
      </c>
      <c r="AC72" s="5">
        <v>243.1</v>
      </c>
      <c r="AD72" s="5">
        <v>0</v>
      </c>
      <c r="AE72" s="5">
        <v>0</v>
      </c>
    </row>
    <row r="73">
      <c r="A73" s="2" t="str">
        <f>HYPERLINK("https://www.avito.ru/sankt-peterburg/uslugi/sdat_babbit_olovo_redkiy_metall_7703458972","7703458972")</f>
      </c>
      <c r="B73" t="s">
        <v>55</v>
      </c>
      <c r="C73" t="s">
        <v>56</v>
      </c>
      <c r="D73" t="s">
        <v>108</v>
      </c>
      <c r="E73" t="s">
        <v>34</v>
      </c>
      <c r="F73" t="s">
        <v>35</v>
      </c>
      <c r="G73" t="s">
        <v>36</v>
      </c>
      <c r="H73" s="3" t="str">
        <f>HYPERLINK("https://www.avito.ru/sankt-peterburg/uslugi/sdat_babbit_olovo_redkiy_metall_7703458972","Сдать Баббит / Олово/ Редкий металл")</f>
      </c>
      <c r="I73" t="s">
        <v>154</v>
      </c>
      <c r="J73" t="s">
        <v>155</v>
      </c>
      <c r="K73" t="s">
        <v>90</v>
      </c>
      <c r="L73">
        <v>170</v>
      </c>
      <c r="M73" t="s">
        <v>40</v>
      </c>
      <c r="N73">
        <v>48</v>
      </c>
      <c r="O73" s="4">
        <v>0.25</v>
      </c>
      <c r="P73">
        <v>12</v>
      </c>
      <c r="Q73" s="5">
        <v>26.8</v>
      </c>
      <c r="R73" s="4">
        <v>0</v>
      </c>
      <c r="S73">
        <v>12</v>
      </c>
      <c r="T73">
        <v>0</v>
      </c>
      <c r="U73">
        <v>0</v>
      </c>
      <c r="V73">
        <v>0</v>
      </c>
      <c r="W73">
        <v>0</v>
      </c>
      <c r="X73">
        <v>0</v>
      </c>
      <c r="Y73" s="5" t="s">
        <v>40</v>
      </c>
      <c r="Z73">
        <v>0</v>
      </c>
      <c r="AA73" s="5">
        <v>321.6</v>
      </c>
      <c r="AB73" s="5">
        <v>0</v>
      </c>
      <c r="AC73" s="5">
        <v>321.6</v>
      </c>
      <c r="AD73" s="5">
        <v>0</v>
      </c>
      <c r="AE73" s="5">
        <v>0</v>
      </c>
    </row>
    <row r="74">
      <c r="A74" s="2" t="str">
        <f>HYPERLINK("https://www.avito.ru/babaevo/uslugi/priem_metalloloma_priem_chernogo_loma_8023186929","8023186929")</f>
      </c>
      <c r="B74" t="s">
        <v>42</v>
      </c>
      <c r="C74" t="s">
        <v>156</v>
      </c>
      <c r="D74" t="s">
        <v>157</v>
      </c>
      <c r="E74" t="s">
        <v>34</v>
      </c>
      <c r="F74" t="s">
        <v>35</v>
      </c>
      <c r="G74" t="s">
        <v>36</v>
      </c>
      <c r="H74" s="3" t="str">
        <f>HYPERLINK("https://www.avito.ru/babaevo/uslugi/priem_metalloloma_priem_chernogo_loma_8023186929","Прием металлолома / Прием черного лома")</f>
      </c>
      <c r="I74" t="s">
        <v>54</v>
      </c>
      <c r="J74" t="s">
        <v>38</v>
      </c>
      <c r="K74" t="s">
        <v>39</v>
      </c>
      <c r="L74">
        <v>4</v>
      </c>
      <c r="M74" t="s">
        <v>40</v>
      </c>
      <c r="N74">
        <v>55</v>
      </c>
      <c r="O74" s="4">
        <v>0.2181</v>
      </c>
      <c r="P74">
        <v>12</v>
      </c>
      <c r="Q74" s="5">
        <v>5.1</v>
      </c>
      <c r="R74" s="4">
        <v>0.0833</v>
      </c>
      <c r="S74">
        <v>12</v>
      </c>
      <c r="T74">
        <v>1</v>
      </c>
      <c r="U74">
        <v>0</v>
      </c>
      <c r="V74">
        <v>1</v>
      </c>
      <c r="W74">
        <v>0</v>
      </c>
      <c r="X74">
        <v>0</v>
      </c>
      <c r="Y74" s="5">
        <v>61.2</v>
      </c>
      <c r="Z74">
        <v>0</v>
      </c>
      <c r="AA74" s="5">
        <v>61.2</v>
      </c>
      <c r="AB74" s="5">
        <v>0</v>
      </c>
      <c r="AC74" s="5">
        <v>61.2</v>
      </c>
      <c r="AD74" s="5">
        <v>0</v>
      </c>
      <c r="AE74" s="5">
        <v>0</v>
      </c>
    </row>
    <row r="75">
      <c r="A75" s="2" t="str">
        <f>HYPERLINK("https://www.avito.ru/velikiy_novgorod/uslugi/priem_metalloloma_priem_tsvetnogo_loma_8023691050","8023691050")</f>
      </c>
      <c r="B75" t="s">
        <v>48</v>
      </c>
      <c r="C75" t="s">
        <v>126</v>
      </c>
      <c r="D75" t="s">
        <v>127</v>
      </c>
      <c r="E75" t="s">
        <v>34</v>
      </c>
      <c r="F75" t="s">
        <v>35</v>
      </c>
      <c r="G75" t="s">
        <v>36</v>
      </c>
      <c r="H75" s="3" t="str">
        <f>HYPERLINK("https://www.avito.ru/velikiy_novgorod/uslugi/priem_metalloloma_priem_tsvetnogo_loma_8023691050","Прием металлолома / Прием цветного лома")</f>
      </c>
      <c r="I75" t="s">
        <v>54</v>
      </c>
      <c r="J75" t="s">
        <v>38</v>
      </c>
      <c r="K75" t="s">
        <v>39</v>
      </c>
      <c r="L75">
        <v>4</v>
      </c>
      <c r="M75" t="s">
        <v>40</v>
      </c>
      <c r="N75">
        <v>82</v>
      </c>
      <c r="O75" s="4">
        <v>0.1463</v>
      </c>
      <c r="P75">
        <v>12</v>
      </c>
      <c r="Q75" s="5">
        <v>5.1</v>
      </c>
      <c r="R75" s="4">
        <v>0</v>
      </c>
      <c r="S75">
        <v>12</v>
      </c>
      <c r="T75">
        <v>0</v>
      </c>
      <c r="U75">
        <v>0</v>
      </c>
      <c r="V75">
        <v>0</v>
      </c>
      <c r="W75">
        <v>0</v>
      </c>
      <c r="X75">
        <v>0</v>
      </c>
      <c r="Y75" s="5" t="s">
        <v>40</v>
      </c>
      <c r="Z75">
        <v>0</v>
      </c>
      <c r="AA75" s="5">
        <v>61.2</v>
      </c>
      <c r="AB75" s="5">
        <v>0</v>
      </c>
      <c r="AC75" s="5">
        <v>61.2</v>
      </c>
      <c r="AD75" s="5">
        <v>0</v>
      </c>
      <c r="AE75" s="5">
        <v>0</v>
      </c>
    </row>
    <row r="76">
      <c r="A76" s="2" t="str">
        <f>HYPERLINK("https://www.avito.ru/cherepovets/uslugi/priem_metalloloma_skupka_metalla_8023232933","8023232933")</f>
      </c>
      <c r="B76" t="s">
        <v>42</v>
      </c>
      <c r="C76" t="s">
        <v>92</v>
      </c>
      <c r="D76" t="s">
        <v>93</v>
      </c>
      <c r="E76" t="s">
        <v>34</v>
      </c>
      <c r="F76" t="s">
        <v>35</v>
      </c>
      <c r="G76" t="s">
        <v>36</v>
      </c>
      <c r="H76" s="3" t="str">
        <f>HYPERLINK("https://www.avito.ru/cherepovets/uslugi/priem_metalloloma_skupka_metalla_8023232933","Прием металлолома / Скупка металла")</f>
      </c>
      <c r="I76" t="s">
        <v>78</v>
      </c>
      <c r="J76" t="s">
        <v>38</v>
      </c>
      <c r="K76" t="s">
        <v>39</v>
      </c>
      <c r="L76">
        <v>4</v>
      </c>
      <c r="M76" t="s">
        <v>40</v>
      </c>
      <c r="N76">
        <v>60</v>
      </c>
      <c r="O76" s="4">
        <v>0.1833</v>
      </c>
      <c r="P76">
        <v>11</v>
      </c>
      <c r="Q76" s="5">
        <v>5.1</v>
      </c>
      <c r="R76" s="4">
        <v>0.2727</v>
      </c>
      <c r="S76">
        <v>11</v>
      </c>
      <c r="T76">
        <v>3</v>
      </c>
      <c r="U76">
        <v>0</v>
      </c>
      <c r="V76">
        <v>3</v>
      </c>
      <c r="W76">
        <v>0</v>
      </c>
      <c r="X76">
        <v>0</v>
      </c>
      <c r="Y76" s="5">
        <v>18.7</v>
      </c>
      <c r="Z76">
        <v>0</v>
      </c>
      <c r="AA76" s="5">
        <v>56.1</v>
      </c>
      <c r="AB76" s="5">
        <v>0</v>
      </c>
      <c r="AC76" s="5">
        <v>56.1</v>
      </c>
      <c r="AD76" s="5">
        <v>0</v>
      </c>
      <c r="AE76" s="5">
        <v>0</v>
      </c>
    </row>
    <row r="77">
      <c r="A77" s="2" t="str">
        <f>HYPERLINK("https://www.avito.ru/vologodskaya_oblast_sokol/uslugi/priem_metalloloma_demontazh_priem_metalla_8023572584","8023572584")</f>
      </c>
      <c r="B77" t="s">
        <v>42</v>
      </c>
      <c r="C77" t="s">
        <v>100</v>
      </c>
      <c r="D77" t="s">
        <v>101</v>
      </c>
      <c r="E77" t="s">
        <v>34</v>
      </c>
      <c r="F77" t="s">
        <v>35</v>
      </c>
      <c r="G77" t="s">
        <v>36</v>
      </c>
      <c r="H77" s="3" t="str">
        <f>HYPERLINK("https://www.avito.ru/vologodskaya_oblast_sokol/uslugi/priem_metalloloma_demontazh_priem_metalla_8023572584","Прием металлолома / Демонтаж / Прием металла")</f>
      </c>
      <c r="I77" t="s">
        <v>78</v>
      </c>
      <c r="J77" t="s">
        <v>38</v>
      </c>
      <c r="K77" t="s">
        <v>39</v>
      </c>
      <c r="L77">
        <v>4</v>
      </c>
      <c r="M77" t="s">
        <v>40</v>
      </c>
      <c r="N77">
        <v>64</v>
      </c>
      <c r="O77" s="4">
        <v>0.1718</v>
      </c>
      <c r="P77">
        <v>11</v>
      </c>
      <c r="Q77" s="5">
        <v>4.63</v>
      </c>
      <c r="R77" s="4">
        <v>0.0909</v>
      </c>
      <c r="S77">
        <v>10</v>
      </c>
      <c r="T77">
        <v>1</v>
      </c>
      <c r="U77">
        <v>1</v>
      </c>
      <c r="V77">
        <v>0</v>
      </c>
      <c r="W77">
        <v>0</v>
      </c>
      <c r="X77">
        <v>0</v>
      </c>
      <c r="Y77" s="5">
        <v>51</v>
      </c>
      <c r="Z77">
        <v>0</v>
      </c>
      <c r="AA77" s="5">
        <v>51</v>
      </c>
      <c r="AB77" s="5">
        <v>0</v>
      </c>
      <c r="AC77" s="5">
        <v>51</v>
      </c>
      <c r="AD77" s="5">
        <v>0</v>
      </c>
      <c r="AE77" s="5">
        <v>0</v>
      </c>
    </row>
    <row r="78">
      <c r="A78" s="2" t="str">
        <f>HYPERLINK("https://www.avito.ru/arhangelsk/uslugi/priem_tsvetnogo_metalloloma_8023675015","8023675015")</f>
      </c>
      <c r="B78" t="s">
        <v>116</v>
      </c>
      <c r="C78" t="s">
        <v>158</v>
      </c>
      <c r="D78" t="s">
        <v>159</v>
      </c>
      <c r="E78" t="s">
        <v>34</v>
      </c>
      <c r="F78" t="s">
        <v>35</v>
      </c>
      <c r="G78" t="s">
        <v>36</v>
      </c>
      <c r="H78" s="3" t="str">
        <f>HYPERLINK("https://www.avito.ru/arhangelsk/uslugi/priem_tsvetnogo_metalloloma_8023675015","Прием цветного металлолома")</f>
      </c>
      <c r="I78" t="s">
        <v>41</v>
      </c>
      <c r="J78" t="s">
        <v>38</v>
      </c>
      <c r="K78" t="s">
        <v>39</v>
      </c>
      <c r="L78">
        <v>4</v>
      </c>
      <c r="M78" t="s">
        <v>40</v>
      </c>
      <c r="N78">
        <v>53</v>
      </c>
      <c r="O78" s="4">
        <v>0.2075</v>
      </c>
      <c r="P78">
        <v>11</v>
      </c>
      <c r="Q78" s="5">
        <v>3.7</v>
      </c>
      <c r="R78" s="4">
        <v>0</v>
      </c>
      <c r="S78">
        <v>8</v>
      </c>
      <c r="T78">
        <v>0</v>
      </c>
      <c r="U78">
        <v>0</v>
      </c>
      <c r="V78">
        <v>0</v>
      </c>
      <c r="W78">
        <v>0</v>
      </c>
      <c r="X78">
        <v>0</v>
      </c>
      <c r="Y78" s="5" t="s">
        <v>40</v>
      </c>
      <c r="Z78">
        <v>0</v>
      </c>
      <c r="AA78" s="5">
        <v>40.8</v>
      </c>
      <c r="AB78" s="5">
        <v>0</v>
      </c>
      <c r="AC78" s="5">
        <v>40.8</v>
      </c>
      <c r="AD78" s="5">
        <v>0</v>
      </c>
      <c r="AE78" s="5">
        <v>0</v>
      </c>
    </row>
    <row r="79">
      <c r="A79" s="2" t="str">
        <f>HYPERLINK("https://www.avito.ru/kipen/uslugi/priem_metalloloma_vyvoz_metalloloma_8023683930","8023683930")</f>
      </c>
      <c r="B79" t="s">
        <v>73</v>
      </c>
      <c r="C79" t="s">
        <v>160</v>
      </c>
      <c r="D79" t="s">
        <v>161</v>
      </c>
      <c r="E79" t="s">
        <v>34</v>
      </c>
      <c r="F79" t="s">
        <v>35</v>
      </c>
      <c r="G79" t="s">
        <v>36</v>
      </c>
      <c r="H79" s="3" t="str">
        <f>HYPERLINK("https://www.avito.ru/kipen/uslugi/priem_metalloloma_vyvoz_metalloloma_8023683930","Прием металлолома/ Вывоз металлолома")</f>
      </c>
      <c r="I79" t="s">
        <v>151</v>
      </c>
      <c r="J79" t="s">
        <v>38</v>
      </c>
      <c r="K79" t="s">
        <v>39</v>
      </c>
      <c r="L79">
        <v>4</v>
      </c>
      <c r="M79" t="s">
        <v>40</v>
      </c>
      <c r="N79">
        <v>48</v>
      </c>
      <c r="O79" s="4">
        <v>0.2291</v>
      </c>
      <c r="P79">
        <v>11</v>
      </c>
      <c r="Q79" s="5">
        <v>15.3</v>
      </c>
      <c r="R79" s="4">
        <v>0.0909</v>
      </c>
      <c r="S79">
        <v>9</v>
      </c>
      <c r="T79">
        <v>1</v>
      </c>
      <c r="U79">
        <v>0</v>
      </c>
      <c r="V79">
        <v>0</v>
      </c>
      <c r="W79">
        <v>1</v>
      </c>
      <c r="X79">
        <v>0</v>
      </c>
      <c r="Y79" s="5">
        <v>168.3</v>
      </c>
      <c r="Z79">
        <v>1</v>
      </c>
      <c r="AA79" s="5">
        <v>168.3</v>
      </c>
      <c r="AB79" s="5">
        <v>0</v>
      </c>
      <c r="AC79" s="5">
        <v>168.3</v>
      </c>
      <c r="AD79" s="5">
        <v>0</v>
      </c>
      <c r="AE79" s="5">
        <v>0</v>
      </c>
    </row>
    <row r="80">
      <c r="A80" s="2" t="str">
        <f>HYPERLINK("https://www.avito.ru/boksitogorsk/uslugi/priem_tsvetnogo_metalloloma_8023801800","8023801800")</f>
      </c>
      <c r="B80" t="s">
        <v>73</v>
      </c>
      <c r="C80" t="s">
        <v>162</v>
      </c>
      <c r="D80" t="s">
        <v>163</v>
      </c>
      <c r="E80" t="s">
        <v>34</v>
      </c>
      <c r="F80" t="s">
        <v>35</v>
      </c>
      <c r="G80" t="s">
        <v>36</v>
      </c>
      <c r="H80" s="3" t="str">
        <f>HYPERLINK("https://www.avito.ru/boksitogorsk/uslugi/priem_tsvetnogo_metalloloma_8023801800","Прием цветного металлолома")</f>
      </c>
      <c r="I80" t="s">
        <v>72</v>
      </c>
      <c r="J80" t="s">
        <v>38</v>
      </c>
      <c r="K80" t="s">
        <v>39</v>
      </c>
      <c r="L80">
        <v>4</v>
      </c>
      <c r="M80" t="s">
        <v>40</v>
      </c>
      <c r="N80">
        <v>52</v>
      </c>
      <c r="O80" s="4">
        <v>0.2115</v>
      </c>
      <c r="P80">
        <v>11</v>
      </c>
      <c r="Q80" s="5">
        <v>18.7</v>
      </c>
      <c r="R80" s="4">
        <v>0</v>
      </c>
      <c r="S80">
        <v>11</v>
      </c>
      <c r="T80">
        <v>0</v>
      </c>
      <c r="U80">
        <v>0</v>
      </c>
      <c r="V80">
        <v>0</v>
      </c>
      <c r="W80">
        <v>0</v>
      </c>
      <c r="X80">
        <v>0</v>
      </c>
      <c r="Y80" s="5" t="s">
        <v>40</v>
      </c>
      <c r="Z80">
        <v>0</v>
      </c>
      <c r="AA80" s="5">
        <v>205.7</v>
      </c>
      <c r="AB80" s="5">
        <v>0</v>
      </c>
      <c r="AC80" s="5">
        <v>205.7</v>
      </c>
      <c r="AD80" s="5">
        <v>0</v>
      </c>
      <c r="AE80" s="5">
        <v>0</v>
      </c>
    </row>
    <row r="81">
      <c r="A81" s="2" t="str">
        <f>HYPERLINK("https://www.avito.ru/vsevolozhsk/uslugi/priem_metalloloma_priem_chernogo_loma_8023893419","8023893419")</f>
      </c>
      <c r="B81" t="s">
        <v>73</v>
      </c>
      <c r="C81" t="s">
        <v>164</v>
      </c>
      <c r="D81" t="s">
        <v>165</v>
      </c>
      <c r="E81" t="s">
        <v>34</v>
      </c>
      <c r="F81" t="s">
        <v>35</v>
      </c>
      <c r="G81" t="s">
        <v>36</v>
      </c>
      <c r="H81" s="3" t="str">
        <f>HYPERLINK("https://www.avito.ru/vsevolozhsk/uslugi/priem_metalloloma_priem_chernogo_loma_8023893419","Прием металлолома / Прием черного лома")</f>
      </c>
      <c r="I81" t="s">
        <v>72</v>
      </c>
      <c r="J81" t="s">
        <v>38</v>
      </c>
      <c r="K81" t="s">
        <v>39</v>
      </c>
      <c r="L81">
        <v>4</v>
      </c>
      <c r="M81" t="s">
        <v>40</v>
      </c>
      <c r="N81">
        <v>48</v>
      </c>
      <c r="O81" s="4">
        <v>0.2291</v>
      </c>
      <c r="P81">
        <v>11</v>
      </c>
      <c r="Q81" s="5">
        <v>15.3</v>
      </c>
      <c r="R81" s="4">
        <v>0</v>
      </c>
      <c r="S81">
        <v>9</v>
      </c>
      <c r="T81">
        <v>0</v>
      </c>
      <c r="U81">
        <v>0</v>
      </c>
      <c r="V81">
        <v>0</v>
      </c>
      <c r="W81">
        <v>0</v>
      </c>
      <c r="X81">
        <v>0</v>
      </c>
      <c r="Y81" s="5" t="s">
        <v>40</v>
      </c>
      <c r="Z81">
        <v>1</v>
      </c>
      <c r="AA81" s="5">
        <v>168.3</v>
      </c>
      <c r="AB81" s="5">
        <v>0</v>
      </c>
      <c r="AC81" s="5">
        <v>168.3</v>
      </c>
      <c r="AD81" s="5">
        <v>0</v>
      </c>
      <c r="AE81" s="5">
        <v>0</v>
      </c>
    </row>
    <row r="82">
      <c r="A82" s="2" t="str">
        <f>HYPERLINK("https://www.avito.ru/kirishi/uslugi/priem_loma_tsvetnyh_metallov_8023447065","8023447065")</f>
      </c>
      <c r="B82" t="s">
        <v>73</v>
      </c>
      <c r="C82" t="s">
        <v>166</v>
      </c>
      <c r="D82" t="s">
        <v>167</v>
      </c>
      <c r="E82" t="s">
        <v>34</v>
      </c>
      <c r="F82" t="s">
        <v>35</v>
      </c>
      <c r="G82" t="s">
        <v>36</v>
      </c>
      <c r="H82" s="3" t="str">
        <f>HYPERLINK("https://www.avito.ru/kirishi/uslugi/priem_loma_tsvetnyh_metallov_8023447065","Прием лома цветных металлов")</f>
      </c>
      <c r="I82" t="s">
        <v>72</v>
      </c>
      <c r="J82" t="s">
        <v>38</v>
      </c>
      <c r="K82" t="s">
        <v>39</v>
      </c>
      <c r="L82">
        <v>4</v>
      </c>
      <c r="M82" t="s">
        <v>40</v>
      </c>
      <c r="N82">
        <v>33</v>
      </c>
      <c r="O82" s="4">
        <v>0.303</v>
      </c>
      <c r="P82">
        <v>10</v>
      </c>
      <c r="Q82" s="5">
        <v>16.83</v>
      </c>
      <c r="R82" s="4">
        <v>0</v>
      </c>
      <c r="S82">
        <v>9</v>
      </c>
      <c r="T82">
        <v>0</v>
      </c>
      <c r="U82">
        <v>0</v>
      </c>
      <c r="V82">
        <v>0</v>
      </c>
      <c r="W82">
        <v>0</v>
      </c>
      <c r="X82">
        <v>0</v>
      </c>
      <c r="Y82" s="5" t="s">
        <v>40</v>
      </c>
      <c r="Z82">
        <v>0</v>
      </c>
      <c r="AA82" s="5">
        <v>168.3</v>
      </c>
      <c r="AB82" s="5">
        <v>0</v>
      </c>
      <c r="AC82" s="5">
        <v>168.3</v>
      </c>
      <c r="AD82" s="5">
        <v>0</v>
      </c>
      <c r="AE82" s="5">
        <v>0</v>
      </c>
    </row>
    <row r="83">
      <c r="A83" s="2" t="str">
        <f>HYPERLINK("https://www.avito.ru/babaevo/uslugi/priem_metalloloma_priem_tsvetnogo_loma_8023479683","8023479683")</f>
      </c>
      <c r="B83" t="s">
        <v>42</v>
      </c>
      <c r="C83" t="s">
        <v>156</v>
      </c>
      <c r="D83" t="s">
        <v>157</v>
      </c>
      <c r="E83" t="s">
        <v>34</v>
      </c>
      <c r="F83" t="s">
        <v>35</v>
      </c>
      <c r="G83" t="s">
        <v>36</v>
      </c>
      <c r="H83" s="3" t="str">
        <f>HYPERLINK("https://www.avito.ru/babaevo/uslugi/priem_metalloloma_priem_tsvetnogo_loma_8023479683","Прием металлолома / Прием цветного лома")</f>
      </c>
      <c r="I83" t="s">
        <v>72</v>
      </c>
      <c r="J83" t="s">
        <v>38</v>
      </c>
      <c r="K83" t="s">
        <v>39</v>
      </c>
      <c r="L83">
        <v>4</v>
      </c>
      <c r="M83" t="s">
        <v>40</v>
      </c>
      <c r="N83">
        <v>41</v>
      </c>
      <c r="O83" s="4">
        <v>0.2439</v>
      </c>
      <c r="P83">
        <v>10</v>
      </c>
      <c r="Q83" s="5">
        <v>4.59</v>
      </c>
      <c r="R83" s="4">
        <v>0</v>
      </c>
      <c r="S83">
        <v>9</v>
      </c>
      <c r="T83">
        <v>0</v>
      </c>
      <c r="U83">
        <v>0</v>
      </c>
      <c r="V83">
        <v>0</v>
      </c>
      <c r="W83">
        <v>0</v>
      </c>
      <c r="X83">
        <v>0</v>
      </c>
      <c r="Y83" s="5" t="s">
        <v>40</v>
      </c>
      <c r="Z83">
        <v>0</v>
      </c>
      <c r="AA83" s="5">
        <v>45.9</v>
      </c>
      <c r="AB83" s="5">
        <v>0</v>
      </c>
      <c r="AC83" s="5">
        <v>45.9</v>
      </c>
      <c r="AD83" s="5">
        <v>0</v>
      </c>
      <c r="AE83" s="5">
        <v>0</v>
      </c>
    </row>
    <row r="84">
      <c r="A84" s="2" t="str">
        <f>HYPERLINK("https://www.avito.ru/sankt-peterburg/uslugi/priem_metalla_sdat_lom_vyvoz_loma_8023505295","8023505295")</f>
      </c>
      <c r="B84" t="s">
        <v>55</v>
      </c>
      <c r="C84" t="s">
        <v>56</v>
      </c>
      <c r="D84" t="s">
        <v>139</v>
      </c>
      <c r="E84" t="s">
        <v>34</v>
      </c>
      <c r="F84" t="s">
        <v>35</v>
      </c>
      <c r="G84" t="s">
        <v>36</v>
      </c>
      <c r="H84" s="3" t="str">
        <f>HYPERLINK("https://www.avito.ru/sankt-peterburg/uslugi/priem_metalla_sdat_lom_vyvoz_loma_8023505295","Приём металла /Сдать лом / Вывоз лома")</f>
      </c>
      <c r="I84" t="s">
        <v>151</v>
      </c>
      <c r="J84" t="s">
        <v>152</v>
      </c>
      <c r="K84" t="s">
        <v>153</v>
      </c>
      <c r="L84">
        <v>2</v>
      </c>
      <c r="M84" t="s">
        <v>40</v>
      </c>
      <c r="N84">
        <v>118</v>
      </c>
      <c r="O84" s="4">
        <v>0.0847</v>
      </c>
      <c r="P84">
        <v>10</v>
      </c>
      <c r="Q84" s="5">
        <v>18.36</v>
      </c>
      <c r="R84" s="4">
        <v>0</v>
      </c>
      <c r="S84">
        <v>9</v>
      </c>
      <c r="T84">
        <v>0</v>
      </c>
      <c r="U84">
        <v>0</v>
      </c>
      <c r="V84">
        <v>0</v>
      </c>
      <c r="W84">
        <v>0</v>
      </c>
      <c r="X84">
        <v>0</v>
      </c>
      <c r="Y84" s="5" t="s">
        <v>40</v>
      </c>
      <c r="Z84">
        <v>2</v>
      </c>
      <c r="AA84" s="5">
        <v>183.6</v>
      </c>
      <c r="AB84" s="5">
        <v>0</v>
      </c>
      <c r="AC84" s="5">
        <v>183.6</v>
      </c>
      <c r="AD84" s="5">
        <v>0</v>
      </c>
      <c r="AE84" s="5">
        <v>0</v>
      </c>
    </row>
    <row r="85">
      <c r="A85" s="2" t="str">
        <f>HYPERLINK("https://www.avito.ru/ostrov/uslugi/priem_metalloloma_demontazh_vyvoz_metalla_8023553842","8023553842")</f>
      </c>
      <c r="B85" t="s">
        <v>31</v>
      </c>
      <c r="C85" t="s">
        <v>61</v>
      </c>
      <c r="D85" t="s">
        <v>62</v>
      </c>
      <c r="E85" t="s">
        <v>34</v>
      </c>
      <c r="F85" t="s">
        <v>35</v>
      </c>
      <c r="G85" t="s">
        <v>36</v>
      </c>
      <c r="H85" s="3" t="str">
        <f>HYPERLINK("https://www.avito.ru/ostrov/uslugi/priem_metalloloma_demontazh_vyvoz_metalla_8023553842","Прием металлолома / Демонтаж / Вывоз металла")</f>
      </c>
      <c r="I85" t="s">
        <v>78</v>
      </c>
      <c r="J85" t="s">
        <v>38</v>
      </c>
      <c r="K85" t="s">
        <v>39</v>
      </c>
      <c r="L85">
        <v>4</v>
      </c>
      <c r="M85" t="s">
        <v>40</v>
      </c>
      <c r="N85">
        <v>46</v>
      </c>
      <c r="O85" s="4">
        <v>0.2173</v>
      </c>
      <c r="P85">
        <v>10</v>
      </c>
      <c r="Q85" s="5">
        <v>5.1</v>
      </c>
      <c r="R85" s="4">
        <v>0</v>
      </c>
      <c r="S85">
        <v>10</v>
      </c>
      <c r="T85">
        <v>0</v>
      </c>
      <c r="U85">
        <v>0</v>
      </c>
      <c r="V85">
        <v>0</v>
      </c>
      <c r="W85">
        <v>0</v>
      </c>
      <c r="X85">
        <v>0</v>
      </c>
      <c r="Y85" s="5" t="s">
        <v>40</v>
      </c>
      <c r="Z85">
        <v>0</v>
      </c>
      <c r="AA85" s="5">
        <v>51</v>
      </c>
      <c r="AB85" s="5">
        <v>0</v>
      </c>
      <c r="AC85" s="5">
        <v>51</v>
      </c>
      <c r="AD85" s="5">
        <v>0</v>
      </c>
      <c r="AE85" s="5">
        <v>0</v>
      </c>
    </row>
    <row r="86">
      <c r="A86" s="2" t="str">
        <f>HYPERLINK("https://www.avito.ru/ivangorod/uslugi/priem_loma_tsvetnyh_metallov_8023847196","8023847196")</f>
      </c>
      <c r="B86" t="s">
        <v>73</v>
      </c>
      <c r="C86" t="s">
        <v>168</v>
      </c>
      <c r="D86" t="s">
        <v>169</v>
      </c>
      <c r="E86" t="s">
        <v>34</v>
      </c>
      <c r="F86" t="s">
        <v>35</v>
      </c>
      <c r="G86" t="s">
        <v>36</v>
      </c>
      <c r="H86" s="3" t="str">
        <f>HYPERLINK("https://www.avito.ru/ivangorod/uslugi/priem_loma_tsvetnyh_metallov_8023847196","Прием лома цветных металлов")</f>
      </c>
      <c r="I86" t="s">
        <v>41</v>
      </c>
      <c r="J86" t="s">
        <v>38</v>
      </c>
      <c r="K86" t="s">
        <v>39</v>
      </c>
      <c r="L86">
        <v>4</v>
      </c>
      <c r="M86" t="s">
        <v>40</v>
      </c>
      <c r="N86">
        <v>26</v>
      </c>
      <c r="O86" s="4">
        <v>0.3846</v>
      </c>
      <c r="P86">
        <v>10</v>
      </c>
      <c r="Q86" s="5">
        <v>16.83</v>
      </c>
      <c r="R86" s="4">
        <v>0</v>
      </c>
      <c r="S86">
        <v>9</v>
      </c>
      <c r="T86">
        <v>0</v>
      </c>
      <c r="U86">
        <v>0</v>
      </c>
      <c r="V86">
        <v>0</v>
      </c>
      <c r="W86">
        <v>0</v>
      </c>
      <c r="X86">
        <v>0</v>
      </c>
      <c r="Y86" s="5" t="s">
        <v>40</v>
      </c>
      <c r="Z86">
        <v>0</v>
      </c>
      <c r="AA86" s="5">
        <v>168.3</v>
      </c>
      <c r="AB86" s="5">
        <v>0</v>
      </c>
      <c r="AC86" s="5">
        <v>168.3</v>
      </c>
      <c r="AD86" s="5">
        <v>0</v>
      </c>
      <c r="AE86" s="5">
        <v>0</v>
      </c>
    </row>
    <row r="87">
      <c r="A87" s="2" t="str">
        <f>HYPERLINK("https://www.avito.ru/severodvinsk/uslugi/priem_metalloloma_priem_chernogo_loma_8023162232","8023162232")</f>
      </c>
      <c r="B87" t="s">
        <v>116</v>
      </c>
      <c r="C87" t="s">
        <v>117</v>
      </c>
      <c r="D87" t="s">
        <v>118</v>
      </c>
      <c r="E87" t="s">
        <v>34</v>
      </c>
      <c r="F87" t="s">
        <v>35</v>
      </c>
      <c r="G87" t="s">
        <v>36</v>
      </c>
      <c r="H87" s="3" t="str">
        <f>HYPERLINK("https://www.avito.ru/severodvinsk/uslugi/priem_metalloloma_priem_chernogo_loma_8023162232","Прием металлолома / Прием черного лома")</f>
      </c>
      <c r="I87" t="s">
        <v>65</v>
      </c>
      <c r="J87" t="s">
        <v>38</v>
      </c>
      <c r="K87" t="s">
        <v>39</v>
      </c>
      <c r="L87">
        <v>4</v>
      </c>
      <c r="M87" t="s">
        <v>40</v>
      </c>
      <c r="N87">
        <v>50</v>
      </c>
      <c r="O87" s="4">
        <v>0.18</v>
      </c>
      <c r="P87">
        <v>9</v>
      </c>
      <c r="Q87" s="5">
        <v>4.53</v>
      </c>
      <c r="R87" s="4">
        <v>0.1111</v>
      </c>
      <c r="S87">
        <v>8</v>
      </c>
      <c r="T87">
        <v>1</v>
      </c>
      <c r="U87">
        <v>1</v>
      </c>
      <c r="V87">
        <v>0</v>
      </c>
      <c r="W87">
        <v>0</v>
      </c>
      <c r="X87">
        <v>0</v>
      </c>
      <c r="Y87" s="5">
        <v>40.8</v>
      </c>
      <c r="Z87">
        <v>0</v>
      </c>
      <c r="AA87" s="5">
        <v>40.8</v>
      </c>
      <c r="AB87" s="5">
        <v>0</v>
      </c>
      <c r="AC87" s="5">
        <v>40.8</v>
      </c>
      <c r="AD87" s="5">
        <v>0</v>
      </c>
      <c r="AE87" s="5">
        <v>0</v>
      </c>
    </row>
    <row r="88">
      <c r="A88" s="2" t="str">
        <f>HYPERLINK("https://www.avito.ru/sankt-peterburg/uslugi/priem_metalla_demontazh_priem_metalloloma_8023306105","8023306105")</f>
      </c>
      <c r="B88" t="s">
        <v>55</v>
      </c>
      <c r="C88" t="s">
        <v>56</v>
      </c>
      <c r="D88" t="s">
        <v>170</v>
      </c>
      <c r="E88" t="s">
        <v>34</v>
      </c>
      <c r="F88" t="s">
        <v>35</v>
      </c>
      <c r="G88" t="s">
        <v>36</v>
      </c>
      <c r="H88" s="3" t="str">
        <f>HYPERLINK("https://www.avito.ru/sankt-peterburg/uslugi/priem_metalla_demontazh_priem_metalloloma_8023306105","Прием металла / Демонтаж / Прием металлолома")</f>
      </c>
      <c r="I88" t="s">
        <v>95</v>
      </c>
      <c r="J88" t="s">
        <v>96</v>
      </c>
      <c r="K88" t="s">
        <v>69</v>
      </c>
      <c r="L88">
        <v>8</v>
      </c>
      <c r="M88" t="s">
        <v>40</v>
      </c>
      <c r="N88">
        <v>221</v>
      </c>
      <c r="O88" s="4">
        <v>0.0407</v>
      </c>
      <c r="P88">
        <v>9</v>
      </c>
      <c r="Q88" s="5">
        <v>69.57</v>
      </c>
      <c r="R88" s="4">
        <v>0.2222</v>
      </c>
      <c r="S88">
        <v>7</v>
      </c>
      <c r="T88">
        <v>2</v>
      </c>
      <c r="U88">
        <v>0</v>
      </c>
      <c r="V88">
        <v>2</v>
      </c>
      <c r="W88">
        <v>0</v>
      </c>
      <c r="X88">
        <v>0</v>
      </c>
      <c r="Y88" s="5">
        <v>313.1</v>
      </c>
      <c r="Z88">
        <v>1</v>
      </c>
      <c r="AA88" s="5">
        <v>626.2</v>
      </c>
      <c r="AB88" s="5">
        <v>0</v>
      </c>
      <c r="AC88" s="5">
        <v>626.2</v>
      </c>
      <c r="AD88" s="5">
        <v>0</v>
      </c>
      <c r="AE88" s="5">
        <v>0</v>
      </c>
    </row>
    <row r="89">
      <c r="A89" s="2" t="str">
        <f>HYPERLINK("https://www.avito.ru/kommynary/uslugi/priem_metalloloma_priem_chernogo_loma_8023020949","8023020949")</f>
      </c>
      <c r="B89" t="s">
        <v>73</v>
      </c>
      <c r="C89" t="s">
        <v>171</v>
      </c>
      <c r="D89" t="s">
        <v>172</v>
      </c>
      <c r="E89" t="s">
        <v>34</v>
      </c>
      <c r="F89" t="s">
        <v>35</v>
      </c>
      <c r="G89" t="s">
        <v>36</v>
      </c>
      <c r="H89" s="3" t="str">
        <f>HYPERLINK("https://www.avito.ru/kommynary/uslugi/priem_metalloloma_priem_chernogo_loma_8023020949","Прием металлолома / Прием черного лома")</f>
      </c>
      <c r="I89" t="s">
        <v>65</v>
      </c>
      <c r="J89" t="s">
        <v>38</v>
      </c>
      <c r="K89" t="s">
        <v>39</v>
      </c>
      <c r="L89">
        <v>4</v>
      </c>
      <c r="M89" t="s">
        <v>40</v>
      </c>
      <c r="N89">
        <v>46</v>
      </c>
      <c r="O89" s="4">
        <v>0.1739</v>
      </c>
      <c r="P89">
        <v>8</v>
      </c>
      <c r="Q89" s="5">
        <v>18.7</v>
      </c>
      <c r="R89" s="4">
        <v>0</v>
      </c>
      <c r="S89">
        <v>8</v>
      </c>
      <c r="T89">
        <v>0</v>
      </c>
      <c r="U89">
        <v>0</v>
      </c>
      <c r="V89">
        <v>0</v>
      </c>
      <c r="W89">
        <v>0</v>
      </c>
      <c r="X89">
        <v>0</v>
      </c>
      <c r="Y89" s="5" t="s">
        <v>40</v>
      </c>
      <c r="Z89">
        <v>0</v>
      </c>
      <c r="AA89" s="5">
        <v>149.6</v>
      </c>
      <c r="AB89" s="5">
        <v>0</v>
      </c>
      <c r="AC89" s="5">
        <v>149.6</v>
      </c>
      <c r="AD89" s="5">
        <v>0</v>
      </c>
      <c r="AE89" s="5">
        <v>0</v>
      </c>
    </row>
    <row r="90">
      <c r="A90" s="2" t="str">
        <f>HYPERLINK("https://www.avito.ru/sankt-peterburg/uslugi/priem_metalloloma_demontazh_vyvoz_metalla_8023096314","8023096314")</f>
      </c>
      <c r="B90" t="s">
        <v>55</v>
      </c>
      <c r="C90" t="s">
        <v>56</v>
      </c>
      <c r="D90" t="s">
        <v>88</v>
      </c>
      <c r="E90" t="s">
        <v>34</v>
      </c>
      <c r="F90" t="s">
        <v>35</v>
      </c>
      <c r="G90" t="s">
        <v>36</v>
      </c>
      <c r="H90" s="3" t="str">
        <f>HYPERLINK("https://www.avito.ru/sankt-peterburg/uslugi/priem_metalloloma_demontazh_vyvoz_metalla_8023096314","Прием металлолома / Демонтаж / Вывоз металла")</f>
      </c>
      <c r="I90" t="s">
        <v>95</v>
      </c>
      <c r="J90" t="s">
        <v>96</v>
      </c>
      <c r="K90" t="s">
        <v>69</v>
      </c>
      <c r="L90">
        <v>8</v>
      </c>
      <c r="M90" t="s">
        <v>40</v>
      </c>
      <c r="N90">
        <v>125</v>
      </c>
      <c r="O90" s="4">
        <v>0.064</v>
      </c>
      <c r="P90">
        <v>8</v>
      </c>
      <c r="Q90" s="5">
        <v>20.4</v>
      </c>
      <c r="R90" s="4">
        <v>0.125</v>
      </c>
      <c r="S90">
        <v>8</v>
      </c>
      <c r="T90">
        <v>1</v>
      </c>
      <c r="U90">
        <v>0</v>
      </c>
      <c r="V90">
        <v>1</v>
      </c>
      <c r="W90">
        <v>0</v>
      </c>
      <c r="X90">
        <v>0</v>
      </c>
      <c r="Y90" s="5">
        <v>163.2</v>
      </c>
      <c r="Z90">
        <v>0</v>
      </c>
      <c r="AA90" s="5">
        <v>163.2</v>
      </c>
      <c r="AB90" s="5">
        <v>0</v>
      </c>
      <c r="AC90" s="5">
        <v>163.2</v>
      </c>
      <c r="AD90" s="5">
        <v>0</v>
      </c>
      <c r="AE90" s="5">
        <v>0</v>
      </c>
    </row>
    <row r="91">
      <c r="A91" s="2" t="str">
        <f>HYPERLINK("https://www.avito.ru/leningradskaya_oblast_sosnovyy_bor/uslugi/priem_metalloloma_priem_chernogo_loma_8023257260","8023257260")</f>
      </c>
      <c r="B91" t="s">
        <v>73</v>
      </c>
      <c r="C91" t="s">
        <v>173</v>
      </c>
      <c r="D91" t="s">
        <v>174</v>
      </c>
      <c r="E91" t="s">
        <v>34</v>
      </c>
      <c r="F91" t="s">
        <v>35</v>
      </c>
      <c r="G91" t="s">
        <v>36</v>
      </c>
      <c r="H91" s="3" t="str">
        <f>HYPERLINK("https://www.avito.ru/leningradskaya_oblast_sosnovyy_bor/uslugi/priem_metalloloma_priem_chernogo_loma_8023257260","Прием металлолома / Прием черного лома")</f>
      </c>
      <c r="I91" t="s">
        <v>37</v>
      </c>
      <c r="J91" t="s">
        <v>38</v>
      </c>
      <c r="K91" t="s">
        <v>39</v>
      </c>
      <c r="L91">
        <v>4</v>
      </c>
      <c r="M91" t="s">
        <v>40</v>
      </c>
      <c r="N91">
        <v>32</v>
      </c>
      <c r="O91" s="4">
        <v>0.25</v>
      </c>
      <c r="P91">
        <v>8</v>
      </c>
      <c r="Q91" s="5">
        <v>11.68</v>
      </c>
      <c r="R91" s="4">
        <v>0</v>
      </c>
      <c r="S91">
        <v>5</v>
      </c>
      <c r="T91">
        <v>0</v>
      </c>
      <c r="U91">
        <v>0</v>
      </c>
      <c r="V91">
        <v>0</v>
      </c>
      <c r="W91">
        <v>0</v>
      </c>
      <c r="X91">
        <v>0</v>
      </c>
      <c r="Y91" s="5" t="s">
        <v>40</v>
      </c>
      <c r="Z91">
        <v>0</v>
      </c>
      <c r="AA91" s="5">
        <v>93.5</v>
      </c>
      <c r="AB91" s="5">
        <v>0</v>
      </c>
      <c r="AC91" s="5">
        <v>93.5</v>
      </c>
      <c r="AD91" s="5">
        <v>0</v>
      </c>
      <c r="AE91" s="5">
        <v>0</v>
      </c>
    </row>
    <row r="92">
      <c r="A92" s="2" t="str">
        <f>HYPERLINK("https://www.avito.ru/tosno/uslugi/priem_metalloloma_priem_chernogo_loma_8023523582","8023523582")</f>
      </c>
      <c r="B92" t="s">
        <v>73</v>
      </c>
      <c r="C92" t="s">
        <v>175</v>
      </c>
      <c r="D92" t="s">
        <v>176</v>
      </c>
      <c r="E92" t="s">
        <v>34</v>
      </c>
      <c r="F92" t="s">
        <v>35</v>
      </c>
      <c r="G92" t="s">
        <v>36</v>
      </c>
      <c r="H92" s="3" t="str">
        <f>HYPERLINK("https://www.avito.ru/tosno/uslugi/priem_metalloloma_priem_chernogo_loma_8023523582","Прием металлолома / Прием черного лома")</f>
      </c>
      <c r="I92" t="s">
        <v>47</v>
      </c>
      <c r="J92" t="s">
        <v>38</v>
      </c>
      <c r="K92" t="s">
        <v>39</v>
      </c>
      <c r="L92">
        <v>4</v>
      </c>
      <c r="M92" t="s">
        <v>40</v>
      </c>
      <c r="N92">
        <v>30</v>
      </c>
      <c r="O92" s="4">
        <v>0.2666</v>
      </c>
      <c r="P92">
        <v>8</v>
      </c>
      <c r="Q92" s="5">
        <v>16.36</v>
      </c>
      <c r="R92" s="4">
        <v>0.125</v>
      </c>
      <c r="S92">
        <v>7</v>
      </c>
      <c r="T92">
        <v>1</v>
      </c>
      <c r="U92">
        <v>1</v>
      </c>
      <c r="V92">
        <v>0</v>
      </c>
      <c r="W92">
        <v>0</v>
      </c>
      <c r="X92">
        <v>0</v>
      </c>
      <c r="Y92" s="5">
        <v>130.9</v>
      </c>
      <c r="Z92">
        <v>0</v>
      </c>
      <c r="AA92" s="5">
        <v>130.9</v>
      </c>
      <c r="AB92" s="5">
        <v>0</v>
      </c>
      <c r="AC92" s="5">
        <v>130.9</v>
      </c>
      <c r="AD92" s="5">
        <v>0</v>
      </c>
      <c r="AE92" s="5">
        <v>0</v>
      </c>
    </row>
    <row r="93">
      <c r="A93" s="2" t="str">
        <f>HYPERLINK("https://www.avito.ru/luga/uslugi/priem_metalloloma_priem_loma_demontazh_8023531222","8023531222")</f>
      </c>
      <c r="B93" t="s">
        <v>73</v>
      </c>
      <c r="C93" t="s">
        <v>74</v>
      </c>
      <c r="D93" t="s">
        <v>75</v>
      </c>
      <c r="E93" t="s">
        <v>34</v>
      </c>
      <c r="F93" t="s">
        <v>35</v>
      </c>
      <c r="G93" t="s">
        <v>36</v>
      </c>
      <c r="H93" s="3" t="str">
        <f>HYPERLINK("https://www.avito.ru/luga/uslugi/priem_metalloloma_priem_loma_demontazh_8023531222","Прием металлолома / Прием лома / Демонтаж")</f>
      </c>
      <c r="I93" t="s">
        <v>54</v>
      </c>
      <c r="J93" t="s">
        <v>38</v>
      </c>
      <c r="K93" t="s">
        <v>39</v>
      </c>
      <c r="L93">
        <v>4</v>
      </c>
      <c r="M93" t="s">
        <v>40</v>
      </c>
      <c r="N93">
        <v>49</v>
      </c>
      <c r="O93" s="4">
        <v>0.1632</v>
      </c>
      <c r="P93">
        <v>8</v>
      </c>
      <c r="Q93" s="5">
        <v>18.7</v>
      </c>
      <c r="R93" s="4">
        <v>0</v>
      </c>
      <c r="S93">
        <v>8</v>
      </c>
      <c r="T93">
        <v>0</v>
      </c>
      <c r="U93">
        <v>0</v>
      </c>
      <c r="V93">
        <v>0</v>
      </c>
      <c r="W93">
        <v>0</v>
      </c>
      <c r="X93">
        <v>0</v>
      </c>
      <c r="Y93" s="5" t="s">
        <v>40</v>
      </c>
      <c r="Z93">
        <v>1</v>
      </c>
      <c r="AA93" s="5">
        <v>149.6</v>
      </c>
      <c r="AB93" s="5">
        <v>0</v>
      </c>
      <c r="AC93" s="5">
        <v>149.6</v>
      </c>
      <c r="AD93" s="5">
        <v>0</v>
      </c>
      <c r="AE93" s="5">
        <v>0</v>
      </c>
    </row>
    <row r="94">
      <c r="A94" s="2" t="str">
        <f>HYPERLINK("https://www.avito.ru/gryazovets/uslugi/priem_tsvetnogo_metalloloma_8023774238","8023774238")</f>
      </c>
      <c r="B94" t="s">
        <v>42</v>
      </c>
      <c r="C94" t="s">
        <v>82</v>
      </c>
      <c r="D94" t="s">
        <v>83</v>
      </c>
      <c r="E94" t="s">
        <v>34</v>
      </c>
      <c r="F94" t="s">
        <v>35</v>
      </c>
      <c r="G94" t="s">
        <v>36</v>
      </c>
      <c r="H94" s="3" t="str">
        <f>HYPERLINK("https://www.avito.ru/gryazovets/uslugi/priem_tsvetnogo_metalloloma_8023774238","Прием цветного металлолома")</f>
      </c>
      <c r="I94" t="s">
        <v>65</v>
      </c>
      <c r="J94" t="s">
        <v>38</v>
      </c>
      <c r="K94" t="s">
        <v>39</v>
      </c>
      <c r="L94">
        <v>4</v>
      </c>
      <c r="M94" t="s">
        <v>40</v>
      </c>
      <c r="N94">
        <v>31</v>
      </c>
      <c r="O94" s="4">
        <v>0.258</v>
      </c>
      <c r="P94">
        <v>8</v>
      </c>
      <c r="Q94" s="5">
        <v>5.1</v>
      </c>
      <c r="R94" s="4">
        <v>0</v>
      </c>
      <c r="S94">
        <v>8</v>
      </c>
      <c r="T94">
        <v>0</v>
      </c>
      <c r="U94">
        <v>0</v>
      </c>
      <c r="V94">
        <v>0</v>
      </c>
      <c r="W94">
        <v>0</v>
      </c>
      <c r="X94">
        <v>0</v>
      </c>
      <c r="Y94" s="5" t="s">
        <v>40</v>
      </c>
      <c r="Z94">
        <v>0</v>
      </c>
      <c r="AA94" s="5">
        <v>40.8</v>
      </c>
      <c r="AB94" s="5">
        <v>0</v>
      </c>
      <c r="AC94" s="5">
        <v>40.8</v>
      </c>
      <c r="AD94" s="5">
        <v>0</v>
      </c>
      <c r="AE94" s="5">
        <v>0</v>
      </c>
    </row>
    <row r="95">
      <c r="A95" s="2" t="str">
        <f>HYPERLINK("https://www.avito.ru/slantsy/uslugi/priem_i_vyvoz_metalloloma_sdat_lom_8023825946","8023825946")</f>
      </c>
      <c r="B95" t="s">
        <v>73</v>
      </c>
      <c r="C95" t="s">
        <v>104</v>
      </c>
      <c r="D95" t="s">
        <v>105</v>
      </c>
      <c r="E95" t="s">
        <v>34</v>
      </c>
      <c r="F95" t="s">
        <v>35</v>
      </c>
      <c r="G95" t="s">
        <v>36</v>
      </c>
      <c r="H95" s="3" t="str">
        <f>HYPERLINK("https://www.avito.ru/slantsy/uslugi/priem_i_vyvoz_metalloloma_sdat_lom_8023825946","Прием и вывоз металлолома / Сдать лом")</f>
      </c>
      <c r="I95" t="s">
        <v>151</v>
      </c>
      <c r="J95" t="s">
        <v>38</v>
      </c>
      <c r="K95" t="s">
        <v>39</v>
      </c>
      <c r="L95">
        <v>4</v>
      </c>
      <c r="M95" t="s">
        <v>40</v>
      </c>
      <c r="N95">
        <v>27</v>
      </c>
      <c r="O95" s="4">
        <v>0.2962</v>
      </c>
      <c r="P95">
        <v>8</v>
      </c>
      <c r="Q95" s="5">
        <v>16.36</v>
      </c>
      <c r="R95" s="4">
        <v>0</v>
      </c>
      <c r="S95">
        <v>7</v>
      </c>
      <c r="T95">
        <v>0</v>
      </c>
      <c r="U95">
        <v>0</v>
      </c>
      <c r="V95">
        <v>0</v>
      </c>
      <c r="W95">
        <v>0</v>
      </c>
      <c r="X95">
        <v>0</v>
      </c>
      <c r="Y95" s="5" t="s">
        <v>40</v>
      </c>
      <c r="Z95">
        <v>0</v>
      </c>
      <c r="AA95" s="5">
        <v>130.9</v>
      </c>
      <c r="AB95" s="5">
        <v>0</v>
      </c>
      <c r="AC95" s="5">
        <v>130.9</v>
      </c>
      <c r="AD95" s="5">
        <v>0</v>
      </c>
      <c r="AE95" s="5">
        <v>0</v>
      </c>
    </row>
    <row r="96">
      <c r="A96" s="2" t="str">
        <f>HYPERLINK("https://www.avito.ru/kaduy/uslugi/priem_metalloloma_priem_chernogo_loma_8022914664","8022914664")</f>
      </c>
      <c r="B96" t="s">
        <v>42</v>
      </c>
      <c r="C96" t="s">
        <v>177</v>
      </c>
      <c r="D96" t="s">
        <v>178</v>
      </c>
      <c r="E96" t="s">
        <v>34</v>
      </c>
      <c r="F96" t="s">
        <v>35</v>
      </c>
      <c r="G96" t="s">
        <v>36</v>
      </c>
      <c r="H96" s="3" t="str">
        <f>HYPERLINK("https://www.avito.ru/kaduy/uslugi/priem_metalloloma_priem_chernogo_loma_8022914664","Прием металлолома / Прием черного лома")</f>
      </c>
      <c r="I96" t="s">
        <v>47</v>
      </c>
      <c r="J96" t="s">
        <v>38</v>
      </c>
      <c r="K96" t="s">
        <v>39</v>
      </c>
      <c r="L96">
        <v>4</v>
      </c>
      <c r="M96" t="s">
        <v>40</v>
      </c>
      <c r="N96">
        <v>41</v>
      </c>
      <c r="O96" s="4">
        <v>0.1707</v>
      </c>
      <c r="P96">
        <v>7</v>
      </c>
      <c r="Q96" s="5">
        <v>5.1</v>
      </c>
      <c r="R96" s="4">
        <v>0</v>
      </c>
      <c r="S96">
        <v>7</v>
      </c>
      <c r="T96">
        <v>0</v>
      </c>
      <c r="U96">
        <v>0</v>
      </c>
      <c r="V96">
        <v>0</v>
      </c>
      <c r="W96">
        <v>0</v>
      </c>
      <c r="X96">
        <v>0</v>
      </c>
      <c r="Y96" s="5" t="s">
        <v>40</v>
      </c>
      <c r="Z96">
        <v>0</v>
      </c>
      <c r="AA96" s="5">
        <v>35.7</v>
      </c>
      <c r="AB96" s="5">
        <v>0</v>
      </c>
      <c r="AC96" s="5">
        <v>35.7</v>
      </c>
      <c r="AD96" s="5">
        <v>0</v>
      </c>
      <c r="AE96" s="5">
        <v>0</v>
      </c>
    </row>
    <row r="97">
      <c r="A97" s="2" t="str">
        <f>HYPERLINK("https://www.avito.ru/sankt-peterburg/uslugi/priem_metalla_sdat_lom_vyvoz_loma_8022960985","8022960985")</f>
      </c>
      <c r="B97" t="s">
        <v>55</v>
      </c>
      <c r="C97" t="s">
        <v>56</v>
      </c>
      <c r="D97" t="s">
        <v>57</v>
      </c>
      <c r="E97" t="s">
        <v>34</v>
      </c>
      <c r="F97" t="s">
        <v>35</v>
      </c>
      <c r="G97" t="s">
        <v>36</v>
      </c>
      <c r="H97" s="3" t="str">
        <f>HYPERLINK("https://www.avito.ru/sankt-peterburg/uslugi/priem_metalla_sdat_lom_vyvoz_loma_8022960985","Приём металла /Сдать лом / Вывоз лома")</f>
      </c>
      <c r="I97" t="s">
        <v>54</v>
      </c>
      <c r="J97" t="s">
        <v>123</v>
      </c>
      <c r="K97" t="s">
        <v>124</v>
      </c>
      <c r="L97">
        <v>1</v>
      </c>
      <c r="M97" t="s">
        <v>40</v>
      </c>
      <c r="N97">
        <v>115</v>
      </c>
      <c r="O97" s="4">
        <v>0.0608</v>
      </c>
      <c r="P97">
        <v>7</v>
      </c>
      <c r="Q97" s="5">
        <v>20.4</v>
      </c>
      <c r="R97" s="4">
        <v>0</v>
      </c>
      <c r="S97">
        <v>7</v>
      </c>
      <c r="T97">
        <v>0</v>
      </c>
      <c r="U97">
        <v>0</v>
      </c>
      <c r="V97">
        <v>0</v>
      </c>
      <c r="W97">
        <v>0</v>
      </c>
      <c r="X97">
        <v>0</v>
      </c>
      <c r="Y97" s="5" t="s">
        <v>40</v>
      </c>
      <c r="Z97">
        <v>0</v>
      </c>
      <c r="AA97" s="5">
        <v>142.8</v>
      </c>
      <c r="AB97" s="5">
        <v>0</v>
      </c>
      <c r="AC97" s="5">
        <v>142.8</v>
      </c>
      <c r="AD97" s="5">
        <v>0</v>
      </c>
      <c r="AE97" s="5">
        <v>0</v>
      </c>
    </row>
    <row r="98">
      <c r="A98" s="2" t="str">
        <f>HYPERLINK("https://www.avito.ru/nevel/uslugi/priem_metalloloma_priem_tsvetnogo_loma_8022976531","8022976531")</f>
      </c>
      <c r="B98" t="s">
        <v>31</v>
      </c>
      <c r="C98" t="s">
        <v>135</v>
      </c>
      <c r="D98" t="s">
        <v>136</v>
      </c>
      <c r="E98" t="s">
        <v>34</v>
      </c>
      <c r="F98" t="s">
        <v>35</v>
      </c>
      <c r="G98" t="s">
        <v>36</v>
      </c>
      <c r="H98" s="3" t="str">
        <f>HYPERLINK("https://www.avito.ru/nevel/uslugi/priem_metalloloma_priem_tsvetnogo_loma_8022976531","Прием металлолома / Прием цветного лома")</f>
      </c>
      <c r="I98" t="s">
        <v>65</v>
      </c>
      <c r="J98" t="s">
        <v>38</v>
      </c>
      <c r="K98" t="s">
        <v>39</v>
      </c>
      <c r="L98">
        <v>4</v>
      </c>
      <c r="M98" t="s">
        <v>40</v>
      </c>
      <c r="N98">
        <v>37</v>
      </c>
      <c r="O98" s="4">
        <v>0.1891</v>
      </c>
      <c r="P98">
        <v>7</v>
      </c>
      <c r="Q98" s="5">
        <v>5.1</v>
      </c>
      <c r="R98" s="4">
        <v>0</v>
      </c>
      <c r="S98">
        <v>7</v>
      </c>
      <c r="T98">
        <v>0</v>
      </c>
      <c r="U98">
        <v>0</v>
      </c>
      <c r="V98">
        <v>0</v>
      </c>
      <c r="W98">
        <v>0</v>
      </c>
      <c r="X98">
        <v>0</v>
      </c>
      <c r="Y98" s="5" t="s">
        <v>40</v>
      </c>
      <c r="Z98">
        <v>0</v>
      </c>
      <c r="AA98" s="5">
        <v>35.7</v>
      </c>
      <c r="AB98" s="5">
        <v>0</v>
      </c>
      <c r="AC98" s="5">
        <v>35.7</v>
      </c>
      <c r="AD98" s="5">
        <v>0</v>
      </c>
      <c r="AE98" s="5">
        <v>0</v>
      </c>
    </row>
    <row r="99">
      <c r="A99" s="2" t="str">
        <f>HYPERLINK("https://www.avito.ru/vologda/uslugi/priem_metalloloma_demontazh_vyvoz_metalla_8023240033","8023240033")</f>
      </c>
      <c r="B99" t="s">
        <v>42</v>
      </c>
      <c r="C99" t="s">
        <v>45</v>
      </c>
      <c r="D99" t="s">
        <v>46</v>
      </c>
      <c r="E99" t="s">
        <v>34</v>
      </c>
      <c r="F99" t="s">
        <v>35</v>
      </c>
      <c r="G99" t="s">
        <v>36</v>
      </c>
      <c r="H99" s="3" t="str">
        <f>HYPERLINK("https://www.avito.ru/vologda/uslugi/priem_metalloloma_demontazh_vyvoz_metalla_8023240033","Прием металлолома / Демонтаж / Вывоз металла")</f>
      </c>
      <c r="I99" t="s">
        <v>85</v>
      </c>
      <c r="J99" t="s">
        <v>152</v>
      </c>
      <c r="K99" t="s">
        <v>153</v>
      </c>
      <c r="L99">
        <v>2</v>
      </c>
      <c r="M99" t="s">
        <v>40</v>
      </c>
      <c r="N99">
        <v>62</v>
      </c>
      <c r="O99" s="4">
        <v>0.1129</v>
      </c>
      <c r="P99">
        <v>7</v>
      </c>
      <c r="Q99" s="5">
        <v>5.1</v>
      </c>
      <c r="R99" s="4">
        <v>0</v>
      </c>
      <c r="S99">
        <v>7</v>
      </c>
      <c r="T99">
        <v>0</v>
      </c>
      <c r="U99">
        <v>0</v>
      </c>
      <c r="V99">
        <v>0</v>
      </c>
      <c r="W99">
        <v>0</v>
      </c>
      <c r="X99">
        <v>0</v>
      </c>
      <c r="Y99" s="5" t="s">
        <v>40</v>
      </c>
      <c r="Z99">
        <v>0</v>
      </c>
      <c r="AA99" s="5">
        <v>35.7</v>
      </c>
      <c r="AB99" s="5">
        <v>0</v>
      </c>
      <c r="AC99" s="5">
        <v>35.7</v>
      </c>
      <c r="AD99" s="5">
        <v>0</v>
      </c>
      <c r="AE99" s="5">
        <v>0</v>
      </c>
    </row>
    <row r="100">
      <c r="A100" s="2" t="str">
        <f>HYPERLINK("https://www.avito.ru/vytegra/uslugi/priem_metalloloma_priem_chernogo_loma_opt_8023402845","8023402845")</f>
      </c>
      <c r="B100" t="s">
        <v>42</v>
      </c>
      <c r="C100" t="s">
        <v>179</v>
      </c>
      <c r="D100" t="s">
        <v>180</v>
      </c>
      <c r="E100" t="s">
        <v>34</v>
      </c>
      <c r="F100" t="s">
        <v>35</v>
      </c>
      <c r="G100" t="s">
        <v>36</v>
      </c>
      <c r="H100" s="3" t="str">
        <f>HYPERLINK("https://www.avito.ru/vytegra/uslugi/priem_metalloloma_priem_chernogo_loma_opt_8023402845","Прием металлолома / Прием черного лома опт")</f>
      </c>
      <c r="I100" t="s">
        <v>41</v>
      </c>
      <c r="J100" t="s">
        <v>38</v>
      </c>
      <c r="K100" t="s">
        <v>39</v>
      </c>
      <c r="L100">
        <v>4</v>
      </c>
      <c r="M100" t="s">
        <v>40</v>
      </c>
      <c r="N100">
        <v>25</v>
      </c>
      <c r="O100" s="4">
        <v>0.28</v>
      </c>
      <c r="P100">
        <v>7</v>
      </c>
      <c r="Q100" s="5">
        <v>5.1</v>
      </c>
      <c r="R100" s="4">
        <v>0</v>
      </c>
      <c r="S100">
        <v>7</v>
      </c>
      <c r="T100">
        <v>0</v>
      </c>
      <c r="U100">
        <v>0</v>
      </c>
      <c r="V100">
        <v>0</v>
      </c>
      <c r="W100">
        <v>0</v>
      </c>
      <c r="X100">
        <v>0</v>
      </c>
      <c r="Y100" s="5" t="s">
        <v>40</v>
      </c>
      <c r="Z100">
        <v>0</v>
      </c>
      <c r="AA100" s="5">
        <v>35.7</v>
      </c>
      <c r="AB100" s="5">
        <v>0</v>
      </c>
      <c r="AC100" s="5">
        <v>35.7</v>
      </c>
      <c r="AD100" s="5">
        <v>0</v>
      </c>
      <c r="AE100" s="5">
        <v>0</v>
      </c>
    </row>
    <row r="101">
      <c r="A101" s="2" t="str">
        <f>HYPERLINK("https://www.avito.ru/malaya_vishera/uslugi/priem_tsvetnogo_metalloloma_8023493224","8023493224")</f>
      </c>
      <c r="B101" t="s">
        <v>48</v>
      </c>
      <c r="C101" t="s">
        <v>181</v>
      </c>
      <c r="D101" t="s">
        <v>181</v>
      </c>
      <c r="E101" t="s">
        <v>34</v>
      </c>
      <c r="F101" t="s">
        <v>35</v>
      </c>
      <c r="G101" t="s">
        <v>36</v>
      </c>
      <c r="H101" s="3" t="str">
        <f>HYPERLINK("https://www.avito.ru/malaya_vishera/uslugi/priem_tsvetnogo_metalloloma_8023493224","Прием цветного металлолома")</f>
      </c>
      <c r="I101" t="s">
        <v>54</v>
      </c>
      <c r="J101" t="s">
        <v>38</v>
      </c>
      <c r="K101" t="s">
        <v>39</v>
      </c>
      <c r="L101">
        <v>4</v>
      </c>
      <c r="M101" t="s">
        <v>40</v>
      </c>
      <c r="N101">
        <v>29</v>
      </c>
      <c r="O101" s="4">
        <v>0.2413</v>
      </c>
      <c r="P101">
        <v>7</v>
      </c>
      <c r="Q101" s="5">
        <v>5.1</v>
      </c>
      <c r="R101" s="4">
        <v>0</v>
      </c>
      <c r="S101">
        <v>7</v>
      </c>
      <c r="T101">
        <v>0</v>
      </c>
      <c r="U101">
        <v>0</v>
      </c>
      <c r="V101">
        <v>0</v>
      </c>
      <c r="W101">
        <v>0</v>
      </c>
      <c r="X101">
        <v>0</v>
      </c>
      <c r="Y101" s="5" t="s">
        <v>40</v>
      </c>
      <c r="Z101">
        <v>0</v>
      </c>
      <c r="AA101" s="5">
        <v>35.7</v>
      </c>
      <c r="AB101" s="5">
        <v>0</v>
      </c>
      <c r="AC101" s="5">
        <v>35.7</v>
      </c>
      <c r="AD101" s="5">
        <v>0</v>
      </c>
      <c r="AE101" s="5">
        <v>0</v>
      </c>
    </row>
    <row r="102">
      <c r="A102" s="2" t="str">
        <f>HYPERLINK("https://www.avito.ru/kaduy/uslugi/priem_loma_tsvetnyh_metallov_8023564698","8023564698")</f>
      </c>
      <c r="B102" t="s">
        <v>42</v>
      </c>
      <c r="C102" t="s">
        <v>177</v>
      </c>
      <c r="D102" t="s">
        <v>178</v>
      </c>
      <c r="E102" t="s">
        <v>34</v>
      </c>
      <c r="F102" t="s">
        <v>35</v>
      </c>
      <c r="G102" t="s">
        <v>36</v>
      </c>
      <c r="H102" s="3" t="str">
        <f>HYPERLINK("https://www.avito.ru/kaduy/uslugi/priem_loma_tsvetnyh_metallov_8023564698","Прием лома цветных металлов")</f>
      </c>
      <c r="I102" t="s">
        <v>54</v>
      </c>
      <c r="J102" t="s">
        <v>38</v>
      </c>
      <c r="K102" t="s">
        <v>39</v>
      </c>
      <c r="L102">
        <v>4</v>
      </c>
      <c r="M102" t="s">
        <v>40</v>
      </c>
      <c r="N102">
        <v>29</v>
      </c>
      <c r="O102" s="4">
        <v>0.2413</v>
      </c>
      <c r="P102">
        <v>7</v>
      </c>
      <c r="Q102" s="5">
        <v>5.1</v>
      </c>
      <c r="R102" s="4">
        <v>0</v>
      </c>
      <c r="S102">
        <v>7</v>
      </c>
      <c r="T102">
        <v>0</v>
      </c>
      <c r="U102">
        <v>0</v>
      </c>
      <c r="V102">
        <v>0</v>
      </c>
      <c r="W102">
        <v>0</v>
      </c>
      <c r="X102">
        <v>0</v>
      </c>
      <c r="Y102" s="5" t="s">
        <v>40</v>
      </c>
      <c r="Z102">
        <v>0</v>
      </c>
      <c r="AA102" s="5">
        <v>35.7</v>
      </c>
      <c r="AB102" s="5">
        <v>0</v>
      </c>
      <c r="AC102" s="5">
        <v>35.7</v>
      </c>
      <c r="AD102" s="5">
        <v>0</v>
      </c>
      <c r="AE102" s="5">
        <v>0</v>
      </c>
    </row>
    <row r="103">
      <c r="A103" s="2" t="str">
        <f>HYPERLINK("https://www.avito.ru/sankt-peterburg/uslugi/priem_metalloloma_priem_loma_demontazh_8023567066","8023567066")</f>
      </c>
      <c r="B103" t="s">
        <v>55</v>
      </c>
      <c r="C103" t="s">
        <v>56</v>
      </c>
      <c r="D103" t="s">
        <v>182</v>
      </c>
      <c r="E103" t="s">
        <v>34</v>
      </c>
      <c r="F103" t="s">
        <v>35</v>
      </c>
      <c r="G103" t="s">
        <v>36</v>
      </c>
      <c r="H103" s="3" t="str">
        <f>HYPERLINK("https://www.avito.ru/sankt-peterburg/uslugi/priem_metalloloma_priem_loma_demontazh_8023567066","Прием металлолома / Прием лома / Демонтаж")</f>
      </c>
      <c r="I103" t="s">
        <v>54</v>
      </c>
      <c r="J103" t="s">
        <v>147</v>
      </c>
      <c r="K103" t="s">
        <v>148</v>
      </c>
      <c r="L103">
        <v>3</v>
      </c>
      <c r="M103" t="s">
        <v>40</v>
      </c>
      <c r="N103">
        <v>96</v>
      </c>
      <c r="O103" s="4">
        <v>0.0729</v>
      </c>
      <c r="P103">
        <v>7</v>
      </c>
      <c r="Q103" s="5">
        <v>20.4</v>
      </c>
      <c r="R103" s="4">
        <v>0.1428</v>
      </c>
      <c r="S103">
        <v>7</v>
      </c>
      <c r="T103">
        <v>1</v>
      </c>
      <c r="U103">
        <v>0</v>
      </c>
      <c r="V103">
        <v>1</v>
      </c>
      <c r="W103">
        <v>0</v>
      </c>
      <c r="X103">
        <v>0</v>
      </c>
      <c r="Y103" s="5">
        <v>142.8</v>
      </c>
      <c r="Z103">
        <v>0</v>
      </c>
      <c r="AA103" s="5">
        <v>142.8</v>
      </c>
      <c r="AB103" s="5">
        <v>0</v>
      </c>
      <c r="AC103" s="5">
        <v>142.8</v>
      </c>
      <c r="AD103" s="5">
        <v>0</v>
      </c>
      <c r="AE103" s="5">
        <v>0</v>
      </c>
    </row>
    <row r="104">
      <c r="A104" s="2" t="str">
        <f>HYPERLINK("https://www.avito.ru/chudovo/uslugi/priem_metalloloma_priem_chernogo_loma_opt_8023682037","8023682037")</f>
      </c>
      <c r="B104" t="s">
        <v>48</v>
      </c>
      <c r="C104" t="s">
        <v>183</v>
      </c>
      <c r="D104" t="s">
        <v>184</v>
      </c>
      <c r="E104" t="s">
        <v>34</v>
      </c>
      <c r="F104" t="s">
        <v>35</v>
      </c>
      <c r="G104" t="s">
        <v>36</v>
      </c>
      <c r="H104" s="3" t="str">
        <f>HYPERLINK("https://www.avito.ru/chudovo/uslugi/priem_metalloloma_priem_chernogo_loma_opt_8023682037","Прием металлолома / Прием черного лома опт")</f>
      </c>
      <c r="I104" t="s">
        <v>54</v>
      </c>
      <c r="J104" t="s">
        <v>38</v>
      </c>
      <c r="K104" t="s">
        <v>39</v>
      </c>
      <c r="L104">
        <v>4</v>
      </c>
      <c r="M104" t="s">
        <v>40</v>
      </c>
      <c r="N104">
        <v>37</v>
      </c>
      <c r="O104" s="4">
        <v>0.1891</v>
      </c>
      <c r="P104">
        <v>7</v>
      </c>
      <c r="Q104" s="5">
        <v>5.1</v>
      </c>
      <c r="R104" s="4">
        <v>0</v>
      </c>
      <c r="S104">
        <v>7</v>
      </c>
      <c r="T104">
        <v>0</v>
      </c>
      <c r="U104">
        <v>0</v>
      </c>
      <c r="V104">
        <v>0</v>
      </c>
      <c r="W104">
        <v>0</v>
      </c>
      <c r="X104">
        <v>0</v>
      </c>
      <c r="Y104" s="5" t="s">
        <v>40</v>
      </c>
      <c r="Z104">
        <v>0</v>
      </c>
      <c r="AA104" s="5">
        <v>35.7</v>
      </c>
      <c r="AB104" s="5">
        <v>0</v>
      </c>
      <c r="AC104" s="5">
        <v>35.7</v>
      </c>
      <c r="AD104" s="5">
        <v>0</v>
      </c>
      <c r="AE104" s="5">
        <v>0</v>
      </c>
    </row>
    <row r="105">
      <c r="A105" s="2" t="str">
        <f>HYPERLINK("https://www.avito.ru/sankt-peterburg/uslugi/priem_loma_priem_tsvetnogo_loma_priem_chermeta_8023815080","8023815080")</f>
      </c>
      <c r="B105" t="s">
        <v>55</v>
      </c>
      <c r="C105" t="s">
        <v>56</v>
      </c>
      <c r="D105" t="s">
        <v>115</v>
      </c>
      <c r="E105" t="s">
        <v>34</v>
      </c>
      <c r="F105" t="s">
        <v>35</v>
      </c>
      <c r="G105" t="s">
        <v>36</v>
      </c>
      <c r="H105" s="3" t="str">
        <f>HYPERLINK("https://www.avito.ru/sankt-peterburg/uslugi/priem_loma_priem_tsvetnogo_loma_priem_chermeta_8023815080","Прием лома / Прием цветного лома / Прием чермета")</f>
      </c>
      <c r="I105" t="s">
        <v>151</v>
      </c>
      <c r="J105" t="s">
        <v>147</v>
      </c>
      <c r="K105" t="s">
        <v>148</v>
      </c>
      <c r="L105">
        <v>3</v>
      </c>
      <c r="M105" t="s">
        <v>40</v>
      </c>
      <c r="N105">
        <v>83</v>
      </c>
      <c r="O105" s="4">
        <v>0.0843</v>
      </c>
      <c r="P105">
        <v>7</v>
      </c>
      <c r="Q105" s="5">
        <v>20.4</v>
      </c>
      <c r="R105" s="4">
        <v>0</v>
      </c>
      <c r="S105">
        <v>7</v>
      </c>
      <c r="T105">
        <v>0</v>
      </c>
      <c r="U105">
        <v>0</v>
      </c>
      <c r="V105">
        <v>0</v>
      </c>
      <c r="W105">
        <v>0</v>
      </c>
      <c r="X105">
        <v>0</v>
      </c>
      <c r="Y105" s="5" t="s">
        <v>40</v>
      </c>
      <c r="Z105">
        <v>0</v>
      </c>
      <c r="AA105" s="5">
        <v>142.8</v>
      </c>
      <c r="AB105" s="5">
        <v>0</v>
      </c>
      <c r="AC105" s="5">
        <v>142.8</v>
      </c>
      <c r="AD105" s="5">
        <v>0</v>
      </c>
      <c r="AE105" s="5">
        <v>0</v>
      </c>
    </row>
    <row r="106">
      <c r="A106" s="2" t="str">
        <f>HYPERLINK("https://www.avito.ru/novodvinsk/uslugi/priem_loma_tsvetnyh_metallov_8023897028","8023897028")</f>
      </c>
      <c r="B106" t="s">
        <v>116</v>
      </c>
      <c r="C106" t="s">
        <v>149</v>
      </c>
      <c r="D106" t="s">
        <v>150</v>
      </c>
      <c r="E106" t="s">
        <v>34</v>
      </c>
      <c r="F106" t="s">
        <v>35</v>
      </c>
      <c r="G106" t="s">
        <v>36</v>
      </c>
      <c r="H106" s="3" t="str">
        <f>HYPERLINK("https://www.avito.ru/novodvinsk/uslugi/priem_loma_tsvetnyh_metallov_8023897028","Прием лома цветных металлов")</f>
      </c>
      <c r="I106" t="s">
        <v>65</v>
      </c>
      <c r="J106" t="s">
        <v>38</v>
      </c>
      <c r="K106" t="s">
        <v>39</v>
      </c>
      <c r="L106">
        <v>4</v>
      </c>
      <c r="M106" t="s">
        <v>40</v>
      </c>
      <c r="N106">
        <v>29</v>
      </c>
      <c r="O106" s="4">
        <v>0.2413</v>
      </c>
      <c r="P106">
        <v>7</v>
      </c>
      <c r="Q106" s="5">
        <v>3.64</v>
      </c>
      <c r="R106" s="4">
        <v>0</v>
      </c>
      <c r="S106">
        <v>5</v>
      </c>
      <c r="T106">
        <v>0</v>
      </c>
      <c r="U106">
        <v>0</v>
      </c>
      <c r="V106">
        <v>0</v>
      </c>
      <c r="W106">
        <v>0</v>
      </c>
      <c r="X106">
        <v>0</v>
      </c>
      <c r="Y106" s="5" t="s">
        <v>40</v>
      </c>
      <c r="Z106">
        <v>0</v>
      </c>
      <c r="AA106" s="5">
        <v>25.5</v>
      </c>
      <c r="AB106" s="5">
        <v>0</v>
      </c>
      <c r="AC106" s="5">
        <v>25.5</v>
      </c>
      <c r="AD106" s="5">
        <v>0</v>
      </c>
      <c r="AE106" s="5">
        <v>0</v>
      </c>
    </row>
    <row r="107">
      <c r="A107" s="2" t="str">
        <f>HYPERLINK("https://www.avito.ru/sankt-peterburg/uslugi/priem_metalla_sdat_lom_vyvoz_loma_8023184338","8023184338")</f>
      </c>
      <c r="B107" t="s">
        <v>55</v>
      </c>
      <c r="C107" t="s">
        <v>56</v>
      </c>
      <c r="D107" t="s">
        <v>185</v>
      </c>
      <c r="E107" t="s">
        <v>34</v>
      </c>
      <c r="F107" t="s">
        <v>35</v>
      </c>
      <c r="G107" t="s">
        <v>36</v>
      </c>
      <c r="H107" s="3" t="str">
        <f>HYPERLINK("https://www.avito.ru/sankt-peterburg/uslugi/priem_metalla_sdat_lom_vyvoz_loma_8023184338","Приём металла /Сдать лом / Вывоз лома")</f>
      </c>
      <c r="I107" t="s">
        <v>85</v>
      </c>
      <c r="J107" t="s">
        <v>186</v>
      </c>
      <c r="K107" t="s">
        <v>187</v>
      </c>
      <c r="L107">
        <v>6</v>
      </c>
      <c r="M107" t="s">
        <v>40</v>
      </c>
      <c r="N107">
        <v>189</v>
      </c>
      <c r="O107" s="4">
        <v>0.0317</v>
      </c>
      <c r="P107">
        <v>6</v>
      </c>
      <c r="Q107" s="5">
        <v>20.4</v>
      </c>
      <c r="R107" s="4">
        <v>0</v>
      </c>
      <c r="S107">
        <v>6</v>
      </c>
      <c r="T107">
        <v>0</v>
      </c>
      <c r="U107">
        <v>0</v>
      </c>
      <c r="V107">
        <v>0</v>
      </c>
      <c r="W107">
        <v>0</v>
      </c>
      <c r="X107">
        <v>0</v>
      </c>
      <c r="Y107" s="5" t="s">
        <v>40</v>
      </c>
      <c r="Z107">
        <v>0</v>
      </c>
      <c r="AA107" s="5">
        <v>122.4</v>
      </c>
      <c r="AB107" s="5">
        <v>0</v>
      </c>
      <c r="AC107" s="5">
        <v>122.4</v>
      </c>
      <c r="AD107" s="5">
        <v>0</v>
      </c>
      <c r="AE107" s="5">
        <v>0</v>
      </c>
    </row>
    <row r="108">
      <c r="A108" s="2" t="str">
        <f>HYPERLINK("https://www.avito.ru/arhangelsk/uslugi/priem_metalloloma_priem_chernogo_loma_opt_8023193315","8023193315")</f>
      </c>
      <c r="B108" t="s">
        <v>116</v>
      </c>
      <c r="C108" t="s">
        <v>158</v>
      </c>
      <c r="D108" t="s">
        <v>159</v>
      </c>
      <c r="E108" t="s">
        <v>34</v>
      </c>
      <c r="F108" t="s">
        <v>35</v>
      </c>
      <c r="G108" t="s">
        <v>36</v>
      </c>
      <c r="H108" s="3" t="str">
        <f>HYPERLINK("https://www.avito.ru/arhangelsk/uslugi/priem_metalloloma_priem_chernogo_loma_opt_8023193315","Прием металлолома / Прием черного лома опт")</f>
      </c>
      <c r="I108" t="s">
        <v>37</v>
      </c>
      <c r="J108" t="s">
        <v>38</v>
      </c>
      <c r="K108" t="s">
        <v>39</v>
      </c>
      <c r="L108">
        <v>4</v>
      </c>
      <c r="M108" t="s">
        <v>40</v>
      </c>
      <c r="N108">
        <v>36</v>
      </c>
      <c r="O108" s="4">
        <v>0.1666</v>
      </c>
      <c r="P108">
        <v>6</v>
      </c>
      <c r="Q108" s="5">
        <v>5.1</v>
      </c>
      <c r="R108" s="4">
        <v>0.1666</v>
      </c>
      <c r="S108">
        <v>6</v>
      </c>
      <c r="T108">
        <v>1</v>
      </c>
      <c r="U108">
        <v>0</v>
      </c>
      <c r="V108">
        <v>1</v>
      </c>
      <c r="W108">
        <v>0</v>
      </c>
      <c r="X108">
        <v>0</v>
      </c>
      <c r="Y108" s="5">
        <v>30.6</v>
      </c>
      <c r="Z108">
        <v>0</v>
      </c>
      <c r="AA108" s="5">
        <v>30.6</v>
      </c>
      <c r="AB108" s="5">
        <v>0</v>
      </c>
      <c r="AC108" s="5">
        <v>30.6</v>
      </c>
      <c r="AD108" s="5">
        <v>0</v>
      </c>
      <c r="AE108" s="5">
        <v>0</v>
      </c>
    </row>
    <row r="109">
      <c r="A109" s="2" t="str">
        <f>HYPERLINK("https://www.avito.ru/lodeynoe_pole/uslugi/priem_tsvetnogo_metalloloma_8023636668","8023636668")</f>
      </c>
      <c r="B109" t="s">
        <v>73</v>
      </c>
      <c r="C109" t="s">
        <v>188</v>
      </c>
      <c r="D109" t="s">
        <v>188</v>
      </c>
      <c r="E109" t="s">
        <v>34</v>
      </c>
      <c r="F109" t="s">
        <v>35</v>
      </c>
      <c r="G109" t="s">
        <v>36</v>
      </c>
      <c r="H109" s="3" t="str">
        <f>HYPERLINK("https://www.avito.ru/lodeynoe_pole/uslugi/priem_tsvetnogo_metalloloma_8023636668","Прием цветного металлолома")</f>
      </c>
      <c r="I109" t="s">
        <v>47</v>
      </c>
      <c r="J109" t="s">
        <v>38</v>
      </c>
      <c r="K109" t="s">
        <v>39</v>
      </c>
      <c r="L109">
        <v>4</v>
      </c>
      <c r="M109" t="s">
        <v>40</v>
      </c>
      <c r="N109">
        <v>27</v>
      </c>
      <c r="O109" s="4">
        <v>0.2222</v>
      </c>
      <c r="P109">
        <v>6</v>
      </c>
      <c r="Q109" s="5">
        <v>18.7</v>
      </c>
      <c r="R109" s="4">
        <v>0</v>
      </c>
      <c r="S109">
        <v>6</v>
      </c>
      <c r="T109">
        <v>0</v>
      </c>
      <c r="U109">
        <v>0</v>
      </c>
      <c r="V109">
        <v>0</v>
      </c>
      <c r="W109">
        <v>0</v>
      </c>
      <c r="X109">
        <v>0</v>
      </c>
      <c r="Y109" s="5" t="s">
        <v>40</v>
      </c>
      <c r="Z109">
        <v>0</v>
      </c>
      <c r="AA109" s="5">
        <v>112.2</v>
      </c>
      <c r="AB109" s="5">
        <v>0</v>
      </c>
      <c r="AC109" s="5">
        <v>112.2</v>
      </c>
      <c r="AD109" s="5">
        <v>0</v>
      </c>
      <c r="AE109" s="5">
        <v>0</v>
      </c>
    </row>
    <row r="110">
      <c r="A110" s="2" t="str">
        <f>HYPERLINK("https://www.avito.ru/gostilitsy/uslugi/priem_metalloloma_priem_chernogo_loma_opt_8023701510","8023701510")</f>
      </c>
      <c r="B110" t="s">
        <v>73</v>
      </c>
      <c r="C110" t="s">
        <v>189</v>
      </c>
      <c r="D110" t="s">
        <v>190</v>
      </c>
      <c r="E110" t="s">
        <v>34</v>
      </c>
      <c r="F110" t="s">
        <v>35</v>
      </c>
      <c r="G110" t="s">
        <v>36</v>
      </c>
      <c r="H110" s="3" t="str">
        <f>HYPERLINK("https://www.avito.ru/gostilitsy/uslugi/priem_metalloloma_priem_chernogo_loma_opt_8023701510","Прием металлолома / Прием черного лома опт")</f>
      </c>
      <c r="I110" t="s">
        <v>72</v>
      </c>
      <c r="J110" t="s">
        <v>38</v>
      </c>
      <c r="K110" t="s">
        <v>39</v>
      </c>
      <c r="L110">
        <v>4</v>
      </c>
      <c r="M110" t="s">
        <v>40</v>
      </c>
      <c r="N110">
        <v>12</v>
      </c>
      <c r="O110" s="4">
        <v>0.5</v>
      </c>
      <c r="P110">
        <v>6</v>
      </c>
      <c r="Q110" s="5">
        <v>18.7</v>
      </c>
      <c r="R110" s="4">
        <v>0</v>
      </c>
      <c r="S110">
        <v>6</v>
      </c>
      <c r="T110">
        <v>0</v>
      </c>
      <c r="U110">
        <v>0</v>
      </c>
      <c r="V110">
        <v>0</v>
      </c>
      <c r="W110">
        <v>0</v>
      </c>
      <c r="X110">
        <v>0</v>
      </c>
      <c r="Y110" s="5" t="s">
        <v>40</v>
      </c>
      <c r="Z110">
        <v>0</v>
      </c>
      <c r="AA110" s="5">
        <v>112.2</v>
      </c>
      <c r="AB110" s="5">
        <v>0</v>
      </c>
      <c r="AC110" s="5">
        <v>112.2</v>
      </c>
      <c r="AD110" s="5">
        <v>0</v>
      </c>
      <c r="AE110" s="5">
        <v>0</v>
      </c>
    </row>
    <row r="111">
      <c r="A111" s="2" t="str">
        <f>HYPERLINK("https://www.avito.ru/sertolovo/uslugi/priem_tsvetnogo_metalloloma_8023705532","8023705532")</f>
      </c>
      <c r="B111" t="s">
        <v>73</v>
      </c>
      <c r="C111" t="s">
        <v>191</v>
      </c>
      <c r="D111" t="s">
        <v>192</v>
      </c>
      <c r="E111" t="s">
        <v>34</v>
      </c>
      <c r="F111" t="s">
        <v>35</v>
      </c>
      <c r="G111" t="s">
        <v>36</v>
      </c>
      <c r="H111" s="3" t="str">
        <f>HYPERLINK("https://www.avito.ru/sertolovo/uslugi/priem_tsvetnogo_metalloloma_8023705532","Прием цветного металлолома")</f>
      </c>
      <c r="I111" t="s">
        <v>54</v>
      </c>
      <c r="J111" t="s">
        <v>38</v>
      </c>
      <c r="K111" t="s">
        <v>39</v>
      </c>
      <c r="L111">
        <v>4</v>
      </c>
      <c r="M111" t="s">
        <v>40</v>
      </c>
      <c r="N111">
        <v>14</v>
      </c>
      <c r="O111" s="4">
        <v>0.4285</v>
      </c>
      <c r="P111">
        <v>6</v>
      </c>
      <c r="Q111" s="5">
        <v>18.7</v>
      </c>
      <c r="R111" s="4">
        <v>0</v>
      </c>
      <c r="S111">
        <v>6</v>
      </c>
      <c r="T111">
        <v>0</v>
      </c>
      <c r="U111">
        <v>0</v>
      </c>
      <c r="V111">
        <v>0</v>
      </c>
      <c r="W111">
        <v>0</v>
      </c>
      <c r="X111">
        <v>0</v>
      </c>
      <c r="Y111" s="5" t="s">
        <v>40</v>
      </c>
      <c r="Z111">
        <v>0</v>
      </c>
      <c r="AA111" s="5">
        <v>112.2</v>
      </c>
      <c r="AB111" s="5">
        <v>0</v>
      </c>
      <c r="AC111" s="5">
        <v>112.2</v>
      </c>
      <c r="AD111" s="5">
        <v>0</v>
      </c>
      <c r="AE111" s="5">
        <v>0</v>
      </c>
    </row>
    <row r="112">
      <c r="A112" s="2" t="str">
        <f>HYPERLINK("https://www.avito.ru/staraya_russa/uslugi/priem_i_vyvoz_metalloloma_sdat_lom_8023717938","8023717938")</f>
      </c>
      <c r="B112" t="s">
        <v>48</v>
      </c>
      <c r="C112" t="s">
        <v>49</v>
      </c>
      <c r="D112" t="s">
        <v>50</v>
      </c>
      <c r="E112" t="s">
        <v>34</v>
      </c>
      <c r="F112" t="s">
        <v>35</v>
      </c>
      <c r="G112" t="s">
        <v>36</v>
      </c>
      <c r="H112" s="3" t="str">
        <f>HYPERLINK("https://www.avito.ru/staraya_russa/uslugi/priem_i_vyvoz_metalloloma_sdat_lom_8023717938","Прием и вывоз металлолома / Сдать лом")</f>
      </c>
      <c r="I112" t="s">
        <v>78</v>
      </c>
      <c r="J112" t="s">
        <v>38</v>
      </c>
      <c r="K112" t="s">
        <v>39</v>
      </c>
      <c r="L112">
        <v>4</v>
      </c>
      <c r="M112" t="s">
        <v>40</v>
      </c>
      <c r="N112">
        <v>36</v>
      </c>
      <c r="O112" s="4">
        <v>0.1666</v>
      </c>
      <c r="P112">
        <v>6</v>
      </c>
      <c r="Q112" s="5">
        <v>5.1</v>
      </c>
      <c r="R112" s="4">
        <v>0</v>
      </c>
      <c r="S112">
        <v>6</v>
      </c>
      <c r="T112">
        <v>0</v>
      </c>
      <c r="U112">
        <v>0</v>
      </c>
      <c r="V112">
        <v>0</v>
      </c>
      <c r="W112">
        <v>0</v>
      </c>
      <c r="X112">
        <v>0</v>
      </c>
      <c r="Y112" s="5" t="s">
        <v>40</v>
      </c>
      <c r="Z112">
        <v>0</v>
      </c>
      <c r="AA112" s="5">
        <v>30.6</v>
      </c>
      <c r="AB112" s="5">
        <v>0</v>
      </c>
      <c r="AC112" s="5">
        <v>30.6</v>
      </c>
      <c r="AD112" s="5">
        <v>0</v>
      </c>
      <c r="AE112" s="5">
        <v>0</v>
      </c>
    </row>
    <row r="113">
      <c r="A113" s="2" t="str">
        <f>HYPERLINK("https://www.avito.ru/sankt-peterburg/uslugi/priem_i_vyvoz_metalloloma_priem_redkih_metallov_8023797939","8023797939")</f>
      </c>
      <c r="B113" t="s">
        <v>55</v>
      </c>
      <c r="C113" t="s">
        <v>56</v>
      </c>
      <c r="D113" t="s">
        <v>193</v>
      </c>
      <c r="E113" t="s">
        <v>34</v>
      </c>
      <c r="F113" t="s">
        <v>35</v>
      </c>
      <c r="G113" t="s">
        <v>36</v>
      </c>
      <c r="H113" s="3" t="str">
        <f>HYPERLINK("https://www.avito.ru/sankt-peterburg/uslugi/priem_i_vyvoz_metalloloma_priem_redkih_metallov_8023797939","Прием и вывоз металлолома / Прием редких металлов")</f>
      </c>
      <c r="I113" t="s">
        <v>54</v>
      </c>
      <c r="J113" t="s">
        <v>86</v>
      </c>
      <c r="K113" t="s">
        <v>87</v>
      </c>
      <c r="L113">
        <v>7</v>
      </c>
      <c r="M113" t="s">
        <v>40</v>
      </c>
      <c r="N113">
        <v>121</v>
      </c>
      <c r="O113" s="4">
        <v>0.0495</v>
      </c>
      <c r="P113">
        <v>6</v>
      </c>
      <c r="Q113" s="5">
        <v>20.4</v>
      </c>
      <c r="R113" s="4">
        <v>0</v>
      </c>
      <c r="S113">
        <v>6</v>
      </c>
      <c r="T113">
        <v>0</v>
      </c>
      <c r="U113">
        <v>0</v>
      </c>
      <c r="V113">
        <v>0</v>
      </c>
      <c r="W113">
        <v>0</v>
      </c>
      <c r="X113">
        <v>0</v>
      </c>
      <c r="Y113" s="5" t="s">
        <v>40</v>
      </c>
      <c r="Z113">
        <v>0</v>
      </c>
      <c r="AA113" s="5">
        <v>122.4</v>
      </c>
      <c r="AB113" s="5">
        <v>0</v>
      </c>
      <c r="AC113" s="5">
        <v>122.4</v>
      </c>
      <c r="AD113" s="5">
        <v>0</v>
      </c>
      <c r="AE113" s="5">
        <v>0</v>
      </c>
    </row>
    <row r="114">
      <c r="A114" s="2" t="str">
        <f>HYPERLINK("https://www.avito.ru/gryazovets/uslugi/priem_i_vyvoz_metalloloma_sdat_lom_8023830451","8023830451")</f>
      </c>
      <c r="B114" t="s">
        <v>42</v>
      </c>
      <c r="C114" t="s">
        <v>82</v>
      </c>
      <c r="D114" t="s">
        <v>83</v>
      </c>
      <c r="E114" t="s">
        <v>34</v>
      </c>
      <c r="F114" t="s">
        <v>35</v>
      </c>
      <c r="G114" t="s">
        <v>36</v>
      </c>
      <c r="H114" s="3" t="str">
        <f>HYPERLINK("https://www.avito.ru/gryazovets/uslugi/priem_i_vyvoz_metalloloma_sdat_lom_8023830451","Прием и вывоз металлолома / Сдать лом")</f>
      </c>
      <c r="I114" t="s">
        <v>78</v>
      </c>
      <c r="J114" t="s">
        <v>38</v>
      </c>
      <c r="K114" t="s">
        <v>39</v>
      </c>
      <c r="L114">
        <v>4</v>
      </c>
      <c r="M114" t="s">
        <v>40</v>
      </c>
      <c r="N114">
        <v>27</v>
      </c>
      <c r="O114" s="4">
        <v>0.2222</v>
      </c>
      <c r="P114">
        <v>6</v>
      </c>
      <c r="Q114" s="5">
        <v>5.1</v>
      </c>
      <c r="R114" s="4">
        <v>0</v>
      </c>
      <c r="S114">
        <v>6</v>
      </c>
      <c r="T114">
        <v>0</v>
      </c>
      <c r="U114">
        <v>0</v>
      </c>
      <c r="V114">
        <v>0</v>
      </c>
      <c r="W114">
        <v>0</v>
      </c>
      <c r="X114">
        <v>0</v>
      </c>
      <c r="Y114" s="5" t="s">
        <v>40</v>
      </c>
      <c r="Z114">
        <v>0</v>
      </c>
      <c r="AA114" s="5">
        <v>30.6</v>
      </c>
      <c r="AB114" s="5">
        <v>0</v>
      </c>
      <c r="AC114" s="5">
        <v>30.6</v>
      </c>
      <c r="AD114" s="5">
        <v>0</v>
      </c>
      <c r="AE114" s="5">
        <v>0</v>
      </c>
    </row>
    <row r="115">
      <c r="A115" s="2" t="str">
        <f>HYPERLINK("https://www.avito.ru/leningradskaya_oblast_sosnovyy_bor/uslugi/priem_loma_tsvetnyh_metallov_8023041146","8023041146")</f>
      </c>
      <c r="B115" t="s">
        <v>73</v>
      </c>
      <c r="C115" t="s">
        <v>173</v>
      </c>
      <c r="D115" t="s">
        <v>174</v>
      </c>
      <c r="E115" t="s">
        <v>34</v>
      </c>
      <c r="F115" t="s">
        <v>35</v>
      </c>
      <c r="G115" t="s">
        <v>36</v>
      </c>
      <c r="H115" s="3" t="str">
        <f>HYPERLINK("https://www.avito.ru/leningradskaya_oblast_sosnovyy_bor/uslugi/priem_loma_tsvetnyh_metallov_8023041146","Прием лома цветных металлов")</f>
      </c>
      <c r="I115" t="s">
        <v>41</v>
      </c>
      <c r="J115" t="s">
        <v>38</v>
      </c>
      <c r="K115" t="s">
        <v>39</v>
      </c>
      <c r="L115">
        <v>4</v>
      </c>
      <c r="M115" t="s">
        <v>40</v>
      </c>
      <c r="N115">
        <v>19</v>
      </c>
      <c r="O115" s="4">
        <v>0.2631</v>
      </c>
      <c r="P115">
        <v>5</v>
      </c>
      <c r="Q115" s="5">
        <v>18.7</v>
      </c>
      <c r="R115" s="4">
        <v>0</v>
      </c>
      <c r="S115">
        <v>5</v>
      </c>
      <c r="T115">
        <v>0</v>
      </c>
      <c r="U115">
        <v>0</v>
      </c>
      <c r="V115">
        <v>0</v>
      </c>
      <c r="W115">
        <v>0</v>
      </c>
      <c r="X115">
        <v>0</v>
      </c>
      <c r="Y115" s="5" t="s">
        <v>40</v>
      </c>
      <c r="Z115">
        <v>1</v>
      </c>
      <c r="AA115" s="5">
        <v>93.5</v>
      </c>
      <c r="AB115" s="5">
        <v>0</v>
      </c>
      <c r="AC115" s="5">
        <v>93.5</v>
      </c>
      <c r="AD115" s="5">
        <v>0</v>
      </c>
      <c r="AE115" s="5">
        <v>0</v>
      </c>
    </row>
    <row r="116">
      <c r="A116" s="2" t="str">
        <f>HYPERLINK("https://www.avito.ru/tihvin/uslugi/priem_metalloloma_priem_chernogo_loma_8023213321","8023213321")</f>
      </c>
      <c r="B116" t="s">
        <v>73</v>
      </c>
      <c r="C116" t="s">
        <v>113</v>
      </c>
      <c r="D116" t="s">
        <v>114</v>
      </c>
      <c r="E116" t="s">
        <v>34</v>
      </c>
      <c r="F116" t="s">
        <v>35</v>
      </c>
      <c r="G116" t="s">
        <v>36</v>
      </c>
      <c r="H116" s="3" t="str">
        <f>HYPERLINK("https://www.avito.ru/tihvin/uslugi/priem_metalloloma_priem_chernogo_loma_8023213321","Прием металлолома / Прием черного лома")</f>
      </c>
      <c r="I116" t="s">
        <v>54</v>
      </c>
      <c r="J116" t="s">
        <v>38</v>
      </c>
      <c r="K116" t="s">
        <v>39</v>
      </c>
      <c r="L116">
        <v>4</v>
      </c>
      <c r="M116" t="s">
        <v>40</v>
      </c>
      <c r="N116">
        <v>20</v>
      </c>
      <c r="O116" s="4">
        <v>0.25</v>
      </c>
      <c r="P116">
        <v>5</v>
      </c>
      <c r="Q116" s="5">
        <v>14.96</v>
      </c>
      <c r="R116" s="4">
        <v>0</v>
      </c>
      <c r="S116">
        <v>4</v>
      </c>
      <c r="T116">
        <v>0</v>
      </c>
      <c r="U116">
        <v>0</v>
      </c>
      <c r="V116">
        <v>0</v>
      </c>
      <c r="W116">
        <v>0</v>
      </c>
      <c r="X116">
        <v>0</v>
      </c>
      <c r="Y116" s="5" t="s">
        <v>40</v>
      </c>
      <c r="Z116">
        <v>0</v>
      </c>
      <c r="AA116" s="5">
        <v>74.8</v>
      </c>
      <c r="AB116" s="5">
        <v>0</v>
      </c>
      <c r="AC116" s="5">
        <v>74.8</v>
      </c>
      <c r="AD116" s="5">
        <v>0</v>
      </c>
      <c r="AE116" s="5">
        <v>0</v>
      </c>
    </row>
    <row r="117">
      <c r="A117" s="2" t="str">
        <f>HYPERLINK("https://www.avito.ru/sankt-peterburg/uslugi/priem_i_vyvoz_metalloloma_sdat_lom_8023243630","8023243630")</f>
      </c>
      <c r="B117" t="s">
        <v>55</v>
      </c>
      <c r="C117" t="s">
        <v>56</v>
      </c>
      <c r="D117" t="s">
        <v>194</v>
      </c>
      <c r="E117" t="s">
        <v>34</v>
      </c>
      <c r="F117" t="s">
        <v>35</v>
      </c>
      <c r="G117" t="s">
        <v>36</v>
      </c>
      <c r="H117" s="3" t="str">
        <f>HYPERLINK("https://www.avito.ru/sankt-peterburg/uslugi/priem_i_vyvoz_metalloloma_sdat_lom_8023243630","Прием и вывоз металлолома / Сдать лом")</f>
      </c>
      <c r="I117" t="s">
        <v>95</v>
      </c>
      <c r="J117" t="s">
        <v>96</v>
      </c>
      <c r="K117" t="s">
        <v>69</v>
      </c>
      <c r="L117">
        <v>8</v>
      </c>
      <c r="M117" t="s">
        <v>40</v>
      </c>
      <c r="N117">
        <v>74</v>
      </c>
      <c r="O117" s="4">
        <v>0.0675</v>
      </c>
      <c r="P117">
        <v>5</v>
      </c>
      <c r="Q117" s="5">
        <v>60.24</v>
      </c>
      <c r="R117" s="4">
        <v>0</v>
      </c>
      <c r="S117">
        <v>5</v>
      </c>
      <c r="T117">
        <v>0</v>
      </c>
      <c r="U117">
        <v>0</v>
      </c>
      <c r="V117">
        <v>0</v>
      </c>
      <c r="W117">
        <v>0</v>
      </c>
      <c r="X117">
        <v>0</v>
      </c>
      <c r="Y117" s="5" t="s">
        <v>40</v>
      </c>
      <c r="Z117">
        <v>0</v>
      </c>
      <c r="AA117" s="5">
        <v>301.2</v>
      </c>
      <c r="AB117" s="5">
        <v>0</v>
      </c>
      <c r="AC117" s="5">
        <v>301.2</v>
      </c>
      <c r="AD117" s="5">
        <v>0</v>
      </c>
      <c r="AE117" s="5">
        <v>0</v>
      </c>
    </row>
    <row r="118">
      <c r="A118" s="2" t="str">
        <f>HYPERLINK("https://www.avito.ru/sheksna/uslugi/priem_metalloloma_priem_chernogo_loma_8023257222","8023257222")</f>
      </c>
      <c r="B118" t="s">
        <v>42</v>
      </c>
      <c r="C118" t="s">
        <v>106</v>
      </c>
      <c r="D118" t="s">
        <v>107</v>
      </c>
      <c r="E118" t="s">
        <v>34</v>
      </c>
      <c r="F118" t="s">
        <v>35</v>
      </c>
      <c r="G118" t="s">
        <v>36</v>
      </c>
      <c r="H118" s="3" t="str">
        <f>HYPERLINK("https://www.avito.ru/sheksna/uslugi/priem_metalloloma_priem_chernogo_loma_8023257222","Прием металлолома / Прием черного лома")</f>
      </c>
      <c r="I118" t="s">
        <v>65</v>
      </c>
      <c r="J118" t="s">
        <v>38</v>
      </c>
      <c r="K118" t="s">
        <v>39</v>
      </c>
      <c r="L118">
        <v>4</v>
      </c>
      <c r="M118" t="s">
        <v>40</v>
      </c>
      <c r="N118">
        <v>32</v>
      </c>
      <c r="O118" s="4">
        <v>0.1562</v>
      </c>
      <c r="P118">
        <v>5</v>
      </c>
      <c r="Q118" s="5">
        <v>4.08</v>
      </c>
      <c r="R118" s="4">
        <v>0</v>
      </c>
      <c r="S118">
        <v>4</v>
      </c>
      <c r="T118">
        <v>0</v>
      </c>
      <c r="U118">
        <v>0</v>
      </c>
      <c r="V118">
        <v>0</v>
      </c>
      <c r="W118">
        <v>0</v>
      </c>
      <c r="X118">
        <v>0</v>
      </c>
      <c r="Y118" s="5" t="s">
        <v>40</v>
      </c>
      <c r="Z118">
        <v>0</v>
      </c>
      <c r="AA118" s="5">
        <v>20.4</v>
      </c>
      <c r="AB118" s="5">
        <v>0</v>
      </c>
      <c r="AC118" s="5">
        <v>20.4</v>
      </c>
      <c r="AD118" s="5">
        <v>0</v>
      </c>
      <c r="AE118" s="5">
        <v>0</v>
      </c>
    </row>
    <row r="119">
      <c r="A119" s="2" t="str">
        <f>HYPERLINK("https://www.avito.ru/sankt-peterburg/uslugi/priem_metalloloma_priem_chernogo_loma_opt_8023271188","8023271188")</f>
      </c>
      <c r="B119" t="s">
        <v>55</v>
      </c>
      <c r="C119" t="s">
        <v>56</v>
      </c>
      <c r="D119" t="s">
        <v>182</v>
      </c>
      <c r="E119" t="s">
        <v>34</v>
      </c>
      <c r="F119" t="s">
        <v>35</v>
      </c>
      <c r="G119" t="s">
        <v>36</v>
      </c>
      <c r="H119" s="3" t="str">
        <f>HYPERLINK("https://www.avito.ru/sankt-peterburg/uslugi/priem_metalloloma_priem_chernogo_loma_opt_8023271188","Прием металлолома / Прием черного лома опт")</f>
      </c>
      <c r="I119" t="s">
        <v>41</v>
      </c>
      <c r="J119" t="s">
        <v>38</v>
      </c>
      <c r="K119" t="s">
        <v>39</v>
      </c>
      <c r="L119">
        <v>4</v>
      </c>
      <c r="M119" t="s">
        <v>40</v>
      </c>
      <c r="N119">
        <v>22</v>
      </c>
      <c r="O119" s="4">
        <v>0.2272</v>
      </c>
      <c r="P119">
        <v>5</v>
      </c>
      <c r="Q119" s="5">
        <v>20.4</v>
      </c>
      <c r="R119" s="4">
        <v>0</v>
      </c>
      <c r="S119">
        <v>5</v>
      </c>
      <c r="T119">
        <v>0</v>
      </c>
      <c r="U119">
        <v>0</v>
      </c>
      <c r="V119">
        <v>0</v>
      </c>
      <c r="W119">
        <v>0</v>
      </c>
      <c r="X119">
        <v>0</v>
      </c>
      <c r="Y119" s="5" t="s">
        <v>40</v>
      </c>
      <c r="Z119">
        <v>0</v>
      </c>
      <c r="AA119" s="5">
        <v>102</v>
      </c>
      <c r="AB119" s="5">
        <v>0</v>
      </c>
      <c r="AC119" s="5">
        <v>102</v>
      </c>
      <c r="AD119" s="5">
        <v>0</v>
      </c>
      <c r="AE119" s="5">
        <v>0</v>
      </c>
    </row>
    <row r="120">
      <c r="A120" s="2" t="str">
        <f>HYPERLINK("https://www.avito.ru/kirishi/uslugi/priem_metalloloma_priem_chernogo_loma_8023275447","8023275447")</f>
      </c>
      <c r="B120" t="s">
        <v>73</v>
      </c>
      <c r="C120" t="s">
        <v>166</v>
      </c>
      <c r="D120" t="s">
        <v>167</v>
      </c>
      <c r="E120" t="s">
        <v>34</v>
      </c>
      <c r="F120" t="s">
        <v>35</v>
      </c>
      <c r="G120" t="s">
        <v>36</v>
      </c>
      <c r="H120" s="3" t="str">
        <f>HYPERLINK("https://www.avito.ru/kirishi/uslugi/priem_metalloloma_priem_chernogo_loma_8023275447","Прием металлолома / Прием черного лома")</f>
      </c>
      <c r="I120" t="s">
        <v>54</v>
      </c>
      <c r="J120" t="s">
        <v>38</v>
      </c>
      <c r="K120" t="s">
        <v>39</v>
      </c>
      <c r="L120">
        <v>4</v>
      </c>
      <c r="M120" t="s">
        <v>40</v>
      </c>
      <c r="N120">
        <v>39</v>
      </c>
      <c r="O120" s="4">
        <v>0.1282</v>
      </c>
      <c r="P120">
        <v>5</v>
      </c>
      <c r="Q120" s="5">
        <v>14.96</v>
      </c>
      <c r="R120" s="4">
        <v>0</v>
      </c>
      <c r="S120">
        <v>4</v>
      </c>
      <c r="T120">
        <v>0</v>
      </c>
      <c r="U120">
        <v>0</v>
      </c>
      <c r="V120">
        <v>0</v>
      </c>
      <c r="W120">
        <v>0</v>
      </c>
      <c r="X120">
        <v>0</v>
      </c>
      <c r="Y120" s="5" t="s">
        <v>40</v>
      </c>
      <c r="Z120">
        <v>0</v>
      </c>
      <c r="AA120" s="5">
        <v>74.8</v>
      </c>
      <c r="AB120" s="5">
        <v>0</v>
      </c>
      <c r="AC120" s="5">
        <v>74.8</v>
      </c>
      <c r="AD120" s="5">
        <v>0</v>
      </c>
      <c r="AE120" s="5">
        <v>0</v>
      </c>
    </row>
    <row r="121">
      <c r="A121" s="2" t="str">
        <f>HYPERLINK("https://www.avito.ru/malaya_vishera/uslugi/priem_metalloloma_priem_chernogo_loma_opt_8023372446","8023372446")</f>
      </c>
      <c r="B121" t="s">
        <v>48</v>
      </c>
      <c r="C121" t="s">
        <v>181</v>
      </c>
      <c r="D121" t="s">
        <v>181</v>
      </c>
      <c r="E121" t="s">
        <v>34</v>
      </c>
      <c r="F121" t="s">
        <v>35</v>
      </c>
      <c r="G121" t="s">
        <v>36</v>
      </c>
      <c r="H121" s="3" t="str">
        <f>HYPERLINK("https://www.avito.ru/malaya_vishera/uslugi/priem_metalloloma_priem_chernogo_loma_opt_8023372446","Прием металлолома / Прием черного лома опт")</f>
      </c>
      <c r="I121" t="s">
        <v>47</v>
      </c>
      <c r="J121" t="s">
        <v>38</v>
      </c>
      <c r="K121" t="s">
        <v>39</v>
      </c>
      <c r="L121">
        <v>4</v>
      </c>
      <c r="M121" t="s">
        <v>40</v>
      </c>
      <c r="N121">
        <v>21</v>
      </c>
      <c r="O121" s="4">
        <v>0.238</v>
      </c>
      <c r="P121">
        <v>5</v>
      </c>
      <c r="Q121" s="5">
        <v>4.08</v>
      </c>
      <c r="R121" s="4">
        <v>0.2</v>
      </c>
      <c r="S121">
        <v>4</v>
      </c>
      <c r="T121">
        <v>1</v>
      </c>
      <c r="U121">
        <v>0</v>
      </c>
      <c r="V121">
        <v>1</v>
      </c>
      <c r="W121">
        <v>0</v>
      </c>
      <c r="X121">
        <v>0</v>
      </c>
      <c r="Y121" s="5">
        <v>20.4</v>
      </c>
      <c r="Z121">
        <v>0</v>
      </c>
      <c r="AA121" s="5">
        <v>20.4</v>
      </c>
      <c r="AB121" s="5">
        <v>0</v>
      </c>
      <c r="AC121" s="5">
        <v>20.4</v>
      </c>
      <c r="AD121" s="5">
        <v>0</v>
      </c>
      <c r="AE121" s="5">
        <v>0</v>
      </c>
    </row>
    <row r="122">
      <c r="A122" s="2" t="str">
        <f>HYPERLINK("https://www.avito.ru/severodvinsk/uslugi/priem_metalloloma_skupka_metalla_8023409596","8023409596")</f>
      </c>
      <c r="B122" t="s">
        <v>116</v>
      </c>
      <c r="C122" t="s">
        <v>117</v>
      </c>
      <c r="D122" t="s">
        <v>118</v>
      </c>
      <c r="E122" t="s">
        <v>34</v>
      </c>
      <c r="F122" t="s">
        <v>35</v>
      </c>
      <c r="G122" t="s">
        <v>36</v>
      </c>
      <c r="H122" s="3" t="str">
        <f>HYPERLINK("https://www.avito.ru/severodvinsk/uslugi/priem_metalloloma_skupka_metalla_8023409596","Прием металлолома / Скупка металла")</f>
      </c>
      <c r="I122" t="s">
        <v>85</v>
      </c>
      <c r="J122" t="s">
        <v>147</v>
      </c>
      <c r="K122" t="s">
        <v>148</v>
      </c>
      <c r="L122">
        <v>3</v>
      </c>
      <c r="M122" t="s">
        <v>40</v>
      </c>
      <c r="N122">
        <v>40</v>
      </c>
      <c r="O122" s="4">
        <v>0.125</v>
      </c>
      <c r="P122">
        <v>5</v>
      </c>
      <c r="Q122" s="5">
        <v>5.1</v>
      </c>
      <c r="R122" s="4">
        <v>0.4</v>
      </c>
      <c r="S122">
        <v>5</v>
      </c>
      <c r="T122">
        <v>2</v>
      </c>
      <c r="U122">
        <v>1</v>
      </c>
      <c r="V122">
        <v>1</v>
      </c>
      <c r="W122">
        <v>0</v>
      </c>
      <c r="X122">
        <v>0</v>
      </c>
      <c r="Y122" s="5">
        <v>12.75</v>
      </c>
      <c r="Z122">
        <v>0</v>
      </c>
      <c r="AA122" s="5">
        <v>25.5</v>
      </c>
      <c r="AB122" s="5">
        <v>0</v>
      </c>
      <c r="AC122" s="5">
        <v>25.5</v>
      </c>
      <c r="AD122" s="5">
        <v>0</v>
      </c>
      <c r="AE122" s="5">
        <v>0</v>
      </c>
    </row>
    <row r="123">
      <c r="A123" s="2" t="str">
        <f>HYPERLINK("https://www.avito.ru/sankt-peterburg/uslugi/priem_tsvetnogo_metalloloma_8023512713","8023512713")</f>
      </c>
      <c r="B123" t="s">
        <v>55</v>
      </c>
      <c r="C123" t="s">
        <v>56</v>
      </c>
      <c r="D123" t="s">
        <v>88</v>
      </c>
      <c r="E123" t="s">
        <v>34</v>
      </c>
      <c r="F123" t="s">
        <v>35</v>
      </c>
      <c r="G123" t="s">
        <v>36</v>
      </c>
      <c r="H123" s="3" t="str">
        <f>HYPERLINK("https://www.avito.ru/sankt-peterburg/uslugi/priem_tsvetnogo_metalloloma_8023512713","Прием цветного металлолома")</f>
      </c>
      <c r="I123" t="s">
        <v>54</v>
      </c>
      <c r="J123" t="s">
        <v>38</v>
      </c>
      <c r="K123" t="s">
        <v>39</v>
      </c>
      <c r="L123">
        <v>4</v>
      </c>
      <c r="M123" t="s">
        <v>40</v>
      </c>
      <c r="N123">
        <v>41</v>
      </c>
      <c r="O123" s="4">
        <v>0.1219</v>
      </c>
      <c r="P123">
        <v>5</v>
      </c>
      <c r="Q123" s="5">
        <v>20.4</v>
      </c>
      <c r="R123" s="4">
        <v>0</v>
      </c>
      <c r="S123">
        <v>5</v>
      </c>
      <c r="T123">
        <v>0</v>
      </c>
      <c r="U123">
        <v>0</v>
      </c>
      <c r="V123">
        <v>0</v>
      </c>
      <c r="W123">
        <v>0</v>
      </c>
      <c r="X123">
        <v>0</v>
      </c>
      <c r="Y123" s="5" t="s">
        <v>40</v>
      </c>
      <c r="Z123">
        <v>0</v>
      </c>
      <c r="AA123" s="5">
        <v>102</v>
      </c>
      <c r="AB123" s="5">
        <v>0</v>
      </c>
      <c r="AC123" s="5">
        <v>102</v>
      </c>
      <c r="AD123" s="5">
        <v>0</v>
      </c>
      <c r="AE123" s="5">
        <v>0</v>
      </c>
    </row>
    <row r="124">
      <c r="A124" s="2" t="str">
        <f>HYPERLINK("https://www.avito.ru/sankt-peterburg/uslugi/priem_metalla_sdat_lom_vyvoz_loma_8023519224","8023519224")</f>
      </c>
      <c r="B124" t="s">
        <v>55</v>
      </c>
      <c r="C124" t="s">
        <v>56</v>
      </c>
      <c r="D124" t="s">
        <v>66</v>
      </c>
      <c r="E124" t="s">
        <v>34</v>
      </c>
      <c r="F124" t="s">
        <v>35</v>
      </c>
      <c r="G124" t="s">
        <v>36</v>
      </c>
      <c r="H124" s="3" t="str">
        <f>HYPERLINK("https://www.avito.ru/sankt-peterburg/uslugi/priem_metalla_sdat_lom_vyvoz_loma_8023519224","Приём металла /Сдать лом / Вывоз лома")</f>
      </c>
      <c r="I124" t="s">
        <v>95</v>
      </c>
      <c r="J124" t="s">
        <v>96</v>
      </c>
      <c r="K124" t="s">
        <v>69</v>
      </c>
      <c r="L124">
        <v>8</v>
      </c>
      <c r="M124" t="s">
        <v>40</v>
      </c>
      <c r="N124">
        <v>106</v>
      </c>
      <c r="O124" s="4">
        <v>0.0471</v>
      </c>
      <c r="P124">
        <v>5</v>
      </c>
      <c r="Q124" s="5">
        <v>20.4</v>
      </c>
      <c r="R124" s="4">
        <v>0</v>
      </c>
      <c r="S124">
        <v>5</v>
      </c>
      <c r="T124">
        <v>0</v>
      </c>
      <c r="U124">
        <v>0</v>
      </c>
      <c r="V124">
        <v>0</v>
      </c>
      <c r="W124">
        <v>0</v>
      </c>
      <c r="X124">
        <v>0</v>
      </c>
      <c r="Y124" s="5" t="s">
        <v>40</v>
      </c>
      <c r="Z124">
        <v>0</v>
      </c>
      <c r="AA124" s="5">
        <v>102</v>
      </c>
      <c r="AB124" s="5">
        <v>0</v>
      </c>
      <c r="AC124" s="5">
        <v>102</v>
      </c>
      <c r="AD124" s="5">
        <v>0</v>
      </c>
      <c r="AE124" s="5">
        <v>0</v>
      </c>
    </row>
    <row r="125">
      <c r="A125" s="2" t="str">
        <f>HYPERLINK("https://www.avito.ru/sankt-peterburg/uslugi/priem_metalloloma_priem_tsvetnogo_loma_8023615403","8023615403")</f>
      </c>
      <c r="B125" t="s">
        <v>55</v>
      </c>
      <c r="C125" t="s">
        <v>56</v>
      </c>
      <c r="D125" t="s">
        <v>139</v>
      </c>
      <c r="E125" t="s">
        <v>34</v>
      </c>
      <c r="F125" t="s">
        <v>35</v>
      </c>
      <c r="G125" t="s">
        <v>36</v>
      </c>
      <c r="H125" s="3" t="str">
        <f>HYPERLINK("https://www.avito.ru/sankt-peterburg/uslugi/priem_metalloloma_priem_tsvetnogo_loma_8023615403","Прием металлолома / Прием цветного лома")</f>
      </c>
      <c r="I125" t="s">
        <v>47</v>
      </c>
      <c r="J125" t="s">
        <v>38</v>
      </c>
      <c r="K125" t="s">
        <v>39</v>
      </c>
      <c r="L125">
        <v>4</v>
      </c>
      <c r="M125" t="s">
        <v>40</v>
      </c>
      <c r="N125">
        <v>70</v>
      </c>
      <c r="O125" s="4">
        <v>0.0714</v>
      </c>
      <c r="P125">
        <v>5</v>
      </c>
      <c r="Q125" s="5">
        <v>20.4</v>
      </c>
      <c r="R125" s="4">
        <v>0</v>
      </c>
      <c r="S125">
        <v>5</v>
      </c>
      <c r="T125">
        <v>0</v>
      </c>
      <c r="U125">
        <v>0</v>
      </c>
      <c r="V125">
        <v>0</v>
      </c>
      <c r="W125">
        <v>0</v>
      </c>
      <c r="X125">
        <v>0</v>
      </c>
      <c r="Y125" s="5" t="s">
        <v>40</v>
      </c>
      <c r="Z125">
        <v>0</v>
      </c>
      <c r="AA125" s="5">
        <v>102</v>
      </c>
      <c r="AB125" s="5">
        <v>0</v>
      </c>
      <c r="AC125" s="5">
        <v>102</v>
      </c>
      <c r="AD125" s="5">
        <v>0</v>
      </c>
      <c r="AE125" s="5">
        <v>0</v>
      </c>
    </row>
    <row r="126">
      <c r="A126" s="2" t="str">
        <f>HYPERLINK("https://www.avito.ru/sankt-peterburg/uslugi/priem_loma_priem_tsvetnogo_loma_priem_chermeta_8023687533","8023687533")</f>
      </c>
      <c r="B126" t="s">
        <v>55</v>
      </c>
      <c r="C126" t="s">
        <v>56</v>
      </c>
      <c r="D126" t="s">
        <v>94</v>
      </c>
      <c r="E126" t="s">
        <v>34</v>
      </c>
      <c r="F126" t="s">
        <v>35</v>
      </c>
      <c r="G126" t="s">
        <v>36</v>
      </c>
      <c r="H126" s="3" t="str">
        <f>HYPERLINK("https://www.avito.ru/sankt-peterburg/uslugi/priem_loma_priem_tsvetnogo_loma_priem_chermeta_8023687533","Прием лома / Прием цветного лома / Прием чермета")</f>
      </c>
      <c r="I126" t="s">
        <v>54</v>
      </c>
      <c r="J126" t="s">
        <v>152</v>
      </c>
      <c r="K126" t="s">
        <v>153</v>
      </c>
      <c r="L126">
        <v>2</v>
      </c>
      <c r="M126" t="s">
        <v>40</v>
      </c>
      <c r="N126">
        <v>106</v>
      </c>
      <c r="O126" s="4">
        <v>0.0471</v>
      </c>
      <c r="P126">
        <v>5</v>
      </c>
      <c r="Q126" s="5">
        <v>20.4</v>
      </c>
      <c r="R126" s="4">
        <v>0.2</v>
      </c>
      <c r="S126">
        <v>5</v>
      </c>
      <c r="T126">
        <v>1</v>
      </c>
      <c r="U126">
        <v>0</v>
      </c>
      <c r="V126">
        <v>1</v>
      </c>
      <c r="W126">
        <v>0</v>
      </c>
      <c r="X126">
        <v>0</v>
      </c>
      <c r="Y126" s="5">
        <v>102</v>
      </c>
      <c r="Z126">
        <v>0</v>
      </c>
      <c r="AA126" s="5">
        <v>102</v>
      </c>
      <c r="AB126" s="5">
        <v>0</v>
      </c>
      <c r="AC126" s="5">
        <v>102</v>
      </c>
      <c r="AD126" s="5">
        <v>0</v>
      </c>
      <c r="AE126" s="5">
        <v>0</v>
      </c>
    </row>
    <row r="127">
      <c r="A127" s="2" t="str">
        <f>HYPERLINK("https://www.avito.ru/tajtsy/uslugi/priem_tsvetnogo_metalloloma_8023888615","8023888615")</f>
      </c>
      <c r="B127" t="s">
        <v>73</v>
      </c>
      <c r="C127" t="s">
        <v>195</v>
      </c>
      <c r="D127" t="s">
        <v>196</v>
      </c>
      <c r="E127" t="s">
        <v>34</v>
      </c>
      <c r="F127" t="s">
        <v>35</v>
      </c>
      <c r="G127" t="s">
        <v>36</v>
      </c>
      <c r="H127" s="3" t="str">
        <f>HYPERLINK("https://www.avito.ru/tajtsy/uslugi/priem_tsvetnogo_metalloloma_8023888615","Прием цветного металлолома")</f>
      </c>
      <c r="I127" t="s">
        <v>65</v>
      </c>
      <c r="J127" t="s">
        <v>38</v>
      </c>
      <c r="K127" t="s">
        <v>39</v>
      </c>
      <c r="L127">
        <v>4</v>
      </c>
      <c r="M127" t="s">
        <v>40</v>
      </c>
      <c r="N127">
        <v>10</v>
      </c>
      <c r="O127" s="4">
        <v>0.5</v>
      </c>
      <c r="P127">
        <v>5</v>
      </c>
      <c r="Q127" s="5">
        <v>14.96</v>
      </c>
      <c r="R127" s="4">
        <v>0.2</v>
      </c>
      <c r="S127">
        <v>4</v>
      </c>
      <c r="T127">
        <v>1</v>
      </c>
      <c r="U127">
        <v>0</v>
      </c>
      <c r="V127">
        <v>1</v>
      </c>
      <c r="W127">
        <v>0</v>
      </c>
      <c r="X127">
        <v>0</v>
      </c>
      <c r="Y127" s="5">
        <v>74.8</v>
      </c>
      <c r="Z127">
        <v>0</v>
      </c>
      <c r="AA127" s="5">
        <v>74.8</v>
      </c>
      <c r="AB127" s="5">
        <v>0</v>
      </c>
      <c r="AC127" s="5">
        <v>74.8</v>
      </c>
      <c r="AD127" s="5">
        <v>0</v>
      </c>
      <c r="AE127" s="5">
        <v>0</v>
      </c>
    </row>
    <row r="128">
      <c r="A128" s="2" t="str">
        <f>HYPERLINK("https://www.avito.ru/tosno/uslugi/priem_loma_tsvetnyh_metallov_8023060955","8023060955")</f>
      </c>
      <c r="B128" t="s">
        <v>73</v>
      </c>
      <c r="C128" t="s">
        <v>175</v>
      </c>
      <c r="D128" t="s">
        <v>176</v>
      </c>
      <c r="E128" t="s">
        <v>34</v>
      </c>
      <c r="F128" t="s">
        <v>35</v>
      </c>
      <c r="G128" t="s">
        <v>36</v>
      </c>
      <c r="H128" s="3" t="str">
        <f>HYPERLINK("https://www.avito.ru/tosno/uslugi/priem_loma_tsvetnyh_metallov_8023060955","Прием лома цветных металлов")</f>
      </c>
      <c r="I128" t="s">
        <v>54</v>
      </c>
      <c r="J128" t="s">
        <v>38</v>
      </c>
      <c r="K128" t="s">
        <v>39</v>
      </c>
      <c r="L128">
        <v>4</v>
      </c>
      <c r="M128" t="s">
        <v>40</v>
      </c>
      <c r="N128">
        <v>14</v>
      </c>
      <c r="O128" s="4">
        <v>0.2857</v>
      </c>
      <c r="P128">
        <v>4</v>
      </c>
      <c r="Q128" s="5">
        <v>18.7</v>
      </c>
      <c r="R128" s="4">
        <v>0</v>
      </c>
      <c r="S128">
        <v>4</v>
      </c>
      <c r="T128">
        <v>0</v>
      </c>
      <c r="U128">
        <v>0</v>
      </c>
      <c r="V128">
        <v>0</v>
      </c>
      <c r="W128">
        <v>0</v>
      </c>
      <c r="X128">
        <v>0</v>
      </c>
      <c r="Y128" s="5" t="s">
        <v>40</v>
      </c>
      <c r="Z128">
        <v>0</v>
      </c>
      <c r="AA128" s="5">
        <v>74.8</v>
      </c>
      <c r="AB128" s="5">
        <v>0</v>
      </c>
      <c r="AC128" s="5">
        <v>74.8</v>
      </c>
      <c r="AD128" s="5">
        <v>0</v>
      </c>
      <c r="AE128" s="5">
        <v>0</v>
      </c>
    </row>
    <row r="129">
      <c r="A129" s="2" t="str">
        <f>HYPERLINK("https://www.avito.ru/cherepovets/uslugi/priem_metalloloma_priem_chernogo_loma_8023078274","8023078274")</f>
      </c>
      <c r="B129" t="s">
        <v>42</v>
      </c>
      <c r="C129" t="s">
        <v>92</v>
      </c>
      <c r="D129" t="s">
        <v>93</v>
      </c>
      <c r="E129" t="s">
        <v>34</v>
      </c>
      <c r="F129" t="s">
        <v>35</v>
      </c>
      <c r="G129" t="s">
        <v>36</v>
      </c>
      <c r="H129" s="3" t="str">
        <f>HYPERLINK("https://www.avito.ru/cherepovets/uslugi/priem_metalloloma_priem_chernogo_loma_8023078274","Прием металлолома / Прием черного лома")</f>
      </c>
      <c r="I129" t="s">
        <v>54</v>
      </c>
      <c r="J129" t="s">
        <v>38</v>
      </c>
      <c r="K129" t="s">
        <v>39</v>
      </c>
      <c r="L129">
        <v>4</v>
      </c>
      <c r="M129" t="s">
        <v>40</v>
      </c>
      <c r="N129">
        <v>35</v>
      </c>
      <c r="O129" s="4">
        <v>0.1142</v>
      </c>
      <c r="P129">
        <v>4</v>
      </c>
      <c r="Q129" s="5">
        <v>5.1</v>
      </c>
      <c r="R129" s="4">
        <v>0.5</v>
      </c>
      <c r="S129">
        <v>4</v>
      </c>
      <c r="T129">
        <v>2</v>
      </c>
      <c r="U129">
        <v>0</v>
      </c>
      <c r="V129">
        <v>2</v>
      </c>
      <c r="W129">
        <v>0</v>
      </c>
      <c r="X129">
        <v>0</v>
      </c>
      <c r="Y129" s="5">
        <v>10.2</v>
      </c>
      <c r="Z129">
        <v>0</v>
      </c>
      <c r="AA129" s="5">
        <v>20.4</v>
      </c>
      <c r="AB129" s="5">
        <v>0</v>
      </c>
      <c r="AC129" s="5">
        <v>20.4</v>
      </c>
      <c r="AD129" s="5">
        <v>0</v>
      </c>
      <c r="AE129" s="5">
        <v>0</v>
      </c>
    </row>
    <row r="130">
      <c r="A130" s="2" t="str">
        <f>HYPERLINK("https://www.avito.ru/sankt-peterburg/uslugi/priem_metalloloma_vyvoz_metalloloma_8023100844","8023100844")</f>
      </c>
      <c r="B130" t="s">
        <v>55</v>
      </c>
      <c r="C130" t="s">
        <v>56</v>
      </c>
      <c r="D130" t="s">
        <v>193</v>
      </c>
      <c r="E130" t="s">
        <v>34</v>
      </c>
      <c r="F130" t="s">
        <v>35</v>
      </c>
      <c r="G130" t="s">
        <v>36</v>
      </c>
      <c r="H130" s="3" t="str">
        <f>HYPERLINK("https://www.avito.ru/sankt-peterburg/uslugi/priem_metalloloma_vyvoz_metalloloma_8023100844","Прием металлолома/ Вывоз металлолома")</f>
      </c>
      <c r="I130" t="s">
        <v>95</v>
      </c>
      <c r="J130" t="s">
        <v>96</v>
      </c>
      <c r="K130" t="s">
        <v>69</v>
      </c>
      <c r="L130">
        <v>8</v>
      </c>
      <c r="M130" t="s">
        <v>40</v>
      </c>
      <c r="N130">
        <v>65</v>
      </c>
      <c r="O130" s="4">
        <v>0.0615</v>
      </c>
      <c r="P130">
        <v>4</v>
      </c>
      <c r="Q130" s="5">
        <v>100.2</v>
      </c>
      <c r="R130" s="4">
        <v>0.25</v>
      </c>
      <c r="S130">
        <v>4</v>
      </c>
      <c r="T130">
        <v>1</v>
      </c>
      <c r="U130">
        <v>0</v>
      </c>
      <c r="V130">
        <v>1</v>
      </c>
      <c r="W130">
        <v>0</v>
      </c>
      <c r="X130">
        <v>0</v>
      </c>
      <c r="Y130" s="5">
        <v>400.8</v>
      </c>
      <c r="Z130">
        <v>0</v>
      </c>
      <c r="AA130" s="5">
        <v>400.8</v>
      </c>
      <c r="AB130" s="5">
        <v>0</v>
      </c>
      <c r="AC130" s="5">
        <v>400.8</v>
      </c>
      <c r="AD130" s="5">
        <v>0</v>
      </c>
      <c r="AE130" s="5">
        <v>0</v>
      </c>
    </row>
    <row r="131">
      <c r="A131" s="2" t="str">
        <f>HYPERLINK("https://www.avito.ru/vologodskaya_oblast_sokol/uslugi/priem_metalloloma_priem_loma_demontazh_8023153024","8023153024")</f>
      </c>
      <c r="B131" t="s">
        <v>42</v>
      </c>
      <c r="C131" t="s">
        <v>100</v>
      </c>
      <c r="D131" t="s">
        <v>101</v>
      </c>
      <c r="E131" t="s">
        <v>34</v>
      </c>
      <c r="F131" t="s">
        <v>35</v>
      </c>
      <c r="G131" t="s">
        <v>36</v>
      </c>
      <c r="H131" s="3" t="str">
        <f>HYPERLINK("https://www.avito.ru/vologodskaya_oblast_sokol/uslugi/priem_metalloloma_priem_loma_demontazh_8023153024","Прием металлолома / Прием лома / Демонтаж")</f>
      </c>
      <c r="I131" t="s">
        <v>85</v>
      </c>
      <c r="J131" t="s">
        <v>152</v>
      </c>
      <c r="K131" t="s">
        <v>153</v>
      </c>
      <c r="L131">
        <v>2</v>
      </c>
      <c r="M131" t="s">
        <v>40</v>
      </c>
      <c r="N131">
        <v>26</v>
      </c>
      <c r="O131" s="4">
        <v>0.1538</v>
      </c>
      <c r="P131">
        <v>4</v>
      </c>
      <c r="Q131" s="5">
        <v>5.1</v>
      </c>
      <c r="R131" s="4">
        <v>0</v>
      </c>
      <c r="S131">
        <v>4</v>
      </c>
      <c r="T131">
        <v>0</v>
      </c>
      <c r="U131">
        <v>0</v>
      </c>
      <c r="V131">
        <v>0</v>
      </c>
      <c r="W131">
        <v>0</v>
      </c>
      <c r="X131">
        <v>0</v>
      </c>
      <c r="Y131" s="5" t="s">
        <v>40</v>
      </c>
      <c r="Z131">
        <v>0</v>
      </c>
      <c r="AA131" s="5">
        <v>20.4</v>
      </c>
      <c r="AB131" s="5">
        <v>0</v>
      </c>
      <c r="AC131" s="5">
        <v>20.4</v>
      </c>
      <c r="AD131" s="5">
        <v>0</v>
      </c>
      <c r="AE131" s="5">
        <v>0</v>
      </c>
    </row>
    <row r="132">
      <c r="A132" s="2" t="str">
        <f>HYPERLINK("https://www.avito.ru/boksitogorsk/uslugi/priem_metalloloma_priem_chernogo_loma_opt_8023209808","8023209808")</f>
      </c>
      <c r="B132" t="s">
        <v>73</v>
      </c>
      <c r="C132" t="s">
        <v>162</v>
      </c>
      <c r="D132" t="s">
        <v>163</v>
      </c>
      <c r="E132" t="s">
        <v>34</v>
      </c>
      <c r="F132" t="s">
        <v>35</v>
      </c>
      <c r="G132" t="s">
        <v>36</v>
      </c>
      <c r="H132" s="3" t="str">
        <f>HYPERLINK("https://www.avito.ru/boksitogorsk/uslugi/priem_metalloloma_priem_chernogo_loma_opt_8023209808","Прием металлолома / Прием черного лома опт")</f>
      </c>
      <c r="I132" t="s">
        <v>54</v>
      </c>
      <c r="J132" t="s">
        <v>38</v>
      </c>
      <c r="K132" t="s">
        <v>39</v>
      </c>
      <c r="L132">
        <v>4</v>
      </c>
      <c r="M132" t="s">
        <v>40</v>
      </c>
      <c r="N132">
        <v>36</v>
      </c>
      <c r="O132" s="4">
        <v>0.1111</v>
      </c>
      <c r="P132">
        <v>4</v>
      </c>
      <c r="Q132" s="5">
        <v>18.7</v>
      </c>
      <c r="R132" s="4">
        <v>0</v>
      </c>
      <c r="S132">
        <v>4</v>
      </c>
      <c r="T132">
        <v>0</v>
      </c>
      <c r="U132">
        <v>0</v>
      </c>
      <c r="V132">
        <v>0</v>
      </c>
      <c r="W132">
        <v>0</v>
      </c>
      <c r="X132">
        <v>0</v>
      </c>
      <c r="Y132" s="5" t="s">
        <v>40</v>
      </c>
      <c r="Z132">
        <v>0</v>
      </c>
      <c r="AA132" s="5">
        <v>74.8</v>
      </c>
      <c r="AB132" s="5">
        <v>0</v>
      </c>
      <c r="AC132" s="5">
        <v>74.8</v>
      </c>
      <c r="AD132" s="5">
        <v>0</v>
      </c>
      <c r="AE132" s="5">
        <v>0</v>
      </c>
    </row>
    <row r="133">
      <c r="A133" s="2" t="str">
        <f>HYPERLINK("https://www.avito.ru/lodeynoe_pole/uslugi/priem_metalloloma_demontazh_priem_metalla_8023243319","8023243319")</f>
      </c>
      <c r="B133" t="s">
        <v>73</v>
      </c>
      <c r="C133" t="s">
        <v>188</v>
      </c>
      <c r="D133" t="s">
        <v>188</v>
      </c>
      <c r="E133" t="s">
        <v>34</v>
      </c>
      <c r="F133" t="s">
        <v>35</v>
      </c>
      <c r="G133" t="s">
        <v>36</v>
      </c>
      <c r="H133" s="3" t="str">
        <f>HYPERLINK("https://www.avito.ru/lodeynoe_pole/uslugi/priem_metalloloma_demontazh_priem_metalla_8023243319","Прием металлолома / Демонтаж / Прием металла")</f>
      </c>
      <c r="I133" t="s">
        <v>95</v>
      </c>
      <c r="J133" t="s">
        <v>38</v>
      </c>
      <c r="K133" t="s">
        <v>39</v>
      </c>
      <c r="L133">
        <v>4</v>
      </c>
      <c r="M133" t="s">
        <v>40</v>
      </c>
      <c r="N133">
        <v>14</v>
      </c>
      <c r="O133" s="4">
        <v>0.2857</v>
      </c>
      <c r="P133">
        <v>4</v>
      </c>
      <c r="Q133" s="5">
        <v>14.02</v>
      </c>
      <c r="R133" s="4">
        <v>0</v>
      </c>
      <c r="S133">
        <v>3</v>
      </c>
      <c r="T133">
        <v>0</v>
      </c>
      <c r="U133">
        <v>0</v>
      </c>
      <c r="V133">
        <v>0</v>
      </c>
      <c r="W133">
        <v>0</v>
      </c>
      <c r="X133">
        <v>0</v>
      </c>
      <c r="Y133" s="5" t="s">
        <v>40</v>
      </c>
      <c r="Z133">
        <v>0</v>
      </c>
      <c r="AA133" s="5">
        <v>56.1</v>
      </c>
      <c r="AB133" s="5">
        <v>0</v>
      </c>
      <c r="AC133" s="5">
        <v>56.1</v>
      </c>
      <c r="AD133" s="5">
        <v>0</v>
      </c>
      <c r="AE133" s="5">
        <v>0</v>
      </c>
    </row>
    <row r="134">
      <c r="A134" s="2" t="str">
        <f>HYPERLINK("https://www.avito.ru/arhangelsk/uslugi/priem_metalloloma_skupka_metalla_8023306741","8023306741")</f>
      </c>
      <c r="B134" t="s">
        <v>116</v>
      </c>
      <c r="C134" t="s">
        <v>158</v>
      </c>
      <c r="D134" t="s">
        <v>159</v>
      </c>
      <c r="E134" t="s">
        <v>34</v>
      </c>
      <c r="F134" t="s">
        <v>35</v>
      </c>
      <c r="G134" t="s">
        <v>36</v>
      </c>
      <c r="H134" s="3" t="str">
        <f>HYPERLINK("https://www.avito.ru/arhangelsk/uslugi/priem_metalloloma_skupka_metalla_8023306741","Прием металлолома / Скупка металла")</f>
      </c>
      <c r="I134" t="s">
        <v>85</v>
      </c>
      <c r="J134" t="s">
        <v>147</v>
      </c>
      <c r="K134" t="s">
        <v>148</v>
      </c>
      <c r="L134">
        <v>3</v>
      </c>
      <c r="M134" t="s">
        <v>40</v>
      </c>
      <c r="N134">
        <v>33</v>
      </c>
      <c r="O134" s="4">
        <v>0.1212</v>
      </c>
      <c r="P134">
        <v>4</v>
      </c>
      <c r="Q134" s="5">
        <v>3.82</v>
      </c>
      <c r="R134" s="4">
        <v>0</v>
      </c>
      <c r="S134">
        <v>3</v>
      </c>
      <c r="T134">
        <v>0</v>
      </c>
      <c r="U134">
        <v>0</v>
      </c>
      <c r="V134">
        <v>0</v>
      </c>
      <c r="W134">
        <v>0</v>
      </c>
      <c r="X134">
        <v>0</v>
      </c>
      <c r="Y134" s="5" t="s">
        <v>40</v>
      </c>
      <c r="Z134">
        <v>0</v>
      </c>
      <c r="AA134" s="5">
        <v>15.3</v>
      </c>
      <c r="AB134" s="5">
        <v>0</v>
      </c>
      <c r="AC134" s="5">
        <v>15.3</v>
      </c>
      <c r="AD134" s="5">
        <v>0</v>
      </c>
      <c r="AE134" s="5">
        <v>0</v>
      </c>
    </row>
    <row r="135">
      <c r="A135" s="2" t="str">
        <f>HYPERLINK("https://www.avito.ru/novaya_ladoga/uslugi/priem_tsvetnogo_metalloloma_8023328850","8023328850")</f>
      </c>
      <c r="B135" t="s">
        <v>73</v>
      </c>
      <c r="C135" t="s">
        <v>197</v>
      </c>
      <c r="D135" t="s">
        <v>198</v>
      </c>
      <c r="E135" t="s">
        <v>34</v>
      </c>
      <c r="F135" t="s">
        <v>35</v>
      </c>
      <c r="G135" t="s">
        <v>36</v>
      </c>
      <c r="H135" s="3" t="str">
        <f>HYPERLINK("https://www.avito.ru/novaya_ladoga/uslugi/priem_tsvetnogo_metalloloma_8023328850","Прием цветного металлолома")</f>
      </c>
      <c r="I135" t="s">
        <v>72</v>
      </c>
      <c r="J135" t="s">
        <v>38</v>
      </c>
      <c r="K135" t="s">
        <v>39</v>
      </c>
      <c r="L135">
        <v>4</v>
      </c>
      <c r="M135" t="s">
        <v>40</v>
      </c>
      <c r="N135">
        <v>16</v>
      </c>
      <c r="O135" s="4">
        <v>0.25</v>
      </c>
      <c r="P135">
        <v>4</v>
      </c>
      <c r="Q135" s="5">
        <v>18.7</v>
      </c>
      <c r="R135" s="4">
        <v>0</v>
      </c>
      <c r="S135">
        <v>4</v>
      </c>
      <c r="T135">
        <v>0</v>
      </c>
      <c r="U135">
        <v>0</v>
      </c>
      <c r="V135">
        <v>0</v>
      </c>
      <c r="W135">
        <v>0</v>
      </c>
      <c r="X135">
        <v>0</v>
      </c>
      <c r="Y135" s="5" t="s">
        <v>40</v>
      </c>
      <c r="Z135">
        <v>0</v>
      </c>
      <c r="AA135" s="5">
        <v>74.8</v>
      </c>
      <c r="AB135" s="5">
        <v>0</v>
      </c>
      <c r="AC135" s="5">
        <v>74.8</v>
      </c>
      <c r="AD135" s="5">
        <v>0</v>
      </c>
      <c r="AE135" s="5">
        <v>0</v>
      </c>
    </row>
    <row r="136">
      <c r="A136" s="2" t="str">
        <f>HYPERLINK("https://www.avito.ru/leningradskaya_oblast_kirovsk/uslugi/priem_i_vyvoz_metalloloma_samovyvoz_loma_8023421453","8023421453")</f>
      </c>
      <c r="B136" t="s">
        <v>73</v>
      </c>
      <c r="C136" t="s">
        <v>199</v>
      </c>
      <c r="D136" t="s">
        <v>200</v>
      </c>
      <c r="E136" t="s">
        <v>34</v>
      </c>
      <c r="F136" t="s">
        <v>35</v>
      </c>
      <c r="G136" t="s">
        <v>36</v>
      </c>
      <c r="H136" s="3" t="str">
        <f>HYPERLINK("https://www.avito.ru/leningradskaya_oblast_kirovsk/uslugi/priem_i_vyvoz_metalloloma_samovyvoz_loma_8023421453","Прием и вывоз металлолома / Самовывоз лома")</f>
      </c>
      <c r="I136" t="s">
        <v>78</v>
      </c>
      <c r="J136" t="s">
        <v>38</v>
      </c>
      <c r="K136" t="s">
        <v>39</v>
      </c>
      <c r="L136">
        <v>4</v>
      </c>
      <c r="M136" t="s">
        <v>40</v>
      </c>
      <c r="N136">
        <v>13</v>
      </c>
      <c r="O136" s="4">
        <v>0.3076</v>
      </c>
      <c r="P136">
        <v>4</v>
      </c>
      <c r="Q136" s="5">
        <v>14.02</v>
      </c>
      <c r="R136" s="4">
        <v>0.5</v>
      </c>
      <c r="S136">
        <v>3</v>
      </c>
      <c r="T136">
        <v>2</v>
      </c>
      <c r="U136">
        <v>0</v>
      </c>
      <c r="V136">
        <v>2</v>
      </c>
      <c r="W136">
        <v>0</v>
      </c>
      <c r="X136">
        <v>0</v>
      </c>
      <c r="Y136" s="5">
        <v>28.05</v>
      </c>
      <c r="Z136">
        <v>0</v>
      </c>
      <c r="AA136" s="5">
        <v>56.1</v>
      </c>
      <c r="AB136" s="5">
        <v>0</v>
      </c>
      <c r="AC136" s="5">
        <v>56.1</v>
      </c>
      <c r="AD136" s="5">
        <v>0</v>
      </c>
      <c r="AE136" s="5">
        <v>0</v>
      </c>
    </row>
    <row r="137">
      <c r="A137" s="2" t="str">
        <f>HYPERLINK("https://www.avito.ru/vytegra/uslugi/priem_tsvetnogo_metalloloma_8023422459","8023422459")</f>
      </c>
      <c r="B137" t="s">
        <v>42</v>
      </c>
      <c r="C137" t="s">
        <v>179</v>
      </c>
      <c r="D137" t="s">
        <v>180</v>
      </c>
      <c r="E137" t="s">
        <v>34</v>
      </c>
      <c r="F137" t="s">
        <v>35</v>
      </c>
      <c r="G137" t="s">
        <v>36</v>
      </c>
      <c r="H137" s="3" t="str">
        <f>HYPERLINK("https://www.avito.ru/vytegra/uslugi/priem_tsvetnogo_metalloloma_8023422459","Прием цветного металлолома")</f>
      </c>
      <c r="I137" t="s">
        <v>47</v>
      </c>
      <c r="J137" t="s">
        <v>38</v>
      </c>
      <c r="K137" t="s">
        <v>39</v>
      </c>
      <c r="L137">
        <v>4</v>
      </c>
      <c r="M137" t="s">
        <v>40</v>
      </c>
      <c r="N137">
        <v>17</v>
      </c>
      <c r="O137" s="4">
        <v>0.2352</v>
      </c>
      <c r="P137">
        <v>4</v>
      </c>
      <c r="Q137" s="5">
        <v>5.1</v>
      </c>
      <c r="R137" s="4">
        <v>0</v>
      </c>
      <c r="S137">
        <v>4</v>
      </c>
      <c r="T137">
        <v>0</v>
      </c>
      <c r="U137">
        <v>0</v>
      </c>
      <c r="V137">
        <v>0</v>
      </c>
      <c r="W137">
        <v>0</v>
      </c>
      <c r="X137">
        <v>0</v>
      </c>
      <c r="Y137" s="5" t="s">
        <v>40</v>
      </c>
      <c r="Z137">
        <v>0</v>
      </c>
      <c r="AA137" s="5">
        <v>20.4</v>
      </c>
      <c r="AB137" s="5">
        <v>0</v>
      </c>
      <c r="AC137" s="5">
        <v>20.4</v>
      </c>
      <c r="AD137" s="5">
        <v>0</v>
      </c>
      <c r="AE137" s="5">
        <v>0</v>
      </c>
    </row>
    <row r="138">
      <c r="A138" s="2" t="str">
        <f>HYPERLINK("https://www.avito.ru/sankt-peterburg/uslugi/priem_metalloloma_demontazh_priem_metalla_8023461594","8023461594")</f>
      </c>
      <c r="B138" t="s">
        <v>55</v>
      </c>
      <c r="C138" t="s">
        <v>56</v>
      </c>
      <c r="D138" t="s">
        <v>194</v>
      </c>
      <c r="E138" t="s">
        <v>34</v>
      </c>
      <c r="F138" t="s">
        <v>35</v>
      </c>
      <c r="G138" t="s">
        <v>36</v>
      </c>
      <c r="H138" s="3" t="str">
        <f>HYPERLINK("https://www.avito.ru/sankt-peterburg/uslugi/priem_metalloloma_demontazh_priem_metalla_8023461594","Прием металлолома / Демонтаж / Прием металла")</f>
      </c>
      <c r="I138" t="s">
        <v>151</v>
      </c>
      <c r="J138" t="s">
        <v>86</v>
      </c>
      <c r="K138" t="s">
        <v>87</v>
      </c>
      <c r="L138">
        <v>7</v>
      </c>
      <c r="M138" t="s">
        <v>40</v>
      </c>
      <c r="N138">
        <v>31</v>
      </c>
      <c r="O138" s="4">
        <v>0.129</v>
      </c>
      <c r="P138">
        <v>4</v>
      </c>
      <c r="Q138" s="5">
        <v>20.4</v>
      </c>
      <c r="R138" s="4">
        <v>0</v>
      </c>
      <c r="S138">
        <v>4</v>
      </c>
      <c r="T138">
        <v>0</v>
      </c>
      <c r="U138">
        <v>0</v>
      </c>
      <c r="V138">
        <v>0</v>
      </c>
      <c r="W138">
        <v>0</v>
      </c>
      <c r="X138">
        <v>0</v>
      </c>
      <c r="Y138" s="5" t="s">
        <v>40</v>
      </c>
      <c r="Z138">
        <v>0</v>
      </c>
      <c r="AA138" s="5">
        <v>81.6</v>
      </c>
      <c r="AB138" s="5">
        <v>0</v>
      </c>
      <c r="AC138" s="5">
        <v>81.6</v>
      </c>
      <c r="AD138" s="5">
        <v>0</v>
      </c>
      <c r="AE138" s="5">
        <v>0</v>
      </c>
    </row>
    <row r="139">
      <c r="A139" s="2" t="str">
        <f>HYPERLINK("https://www.avito.ru/kingisepp/uslugi/priem_i_vyvoz_metalloloma_sdat_lom_8023603032","8023603032")</f>
      </c>
      <c r="B139" t="s">
        <v>73</v>
      </c>
      <c r="C139" t="s">
        <v>201</v>
      </c>
      <c r="D139" t="s">
        <v>202</v>
      </c>
      <c r="E139" t="s">
        <v>34</v>
      </c>
      <c r="F139" t="s">
        <v>35</v>
      </c>
      <c r="G139" t="s">
        <v>36</v>
      </c>
      <c r="H139" s="3" t="str">
        <f>HYPERLINK("https://www.avito.ru/kingisepp/uslugi/priem_i_vyvoz_metalloloma_sdat_lom_8023603032","Прием и вывоз металлолома / Сдать лом")</f>
      </c>
      <c r="I139" t="s">
        <v>54</v>
      </c>
      <c r="J139" t="s">
        <v>38</v>
      </c>
      <c r="K139" t="s">
        <v>39</v>
      </c>
      <c r="L139">
        <v>4</v>
      </c>
      <c r="M139" t="s">
        <v>40</v>
      </c>
      <c r="N139">
        <v>22</v>
      </c>
      <c r="O139" s="4">
        <v>0.1818</v>
      </c>
      <c r="P139">
        <v>4</v>
      </c>
      <c r="Q139" s="5">
        <v>18.7</v>
      </c>
      <c r="R139" s="4">
        <v>0</v>
      </c>
      <c r="S139">
        <v>4</v>
      </c>
      <c r="T139">
        <v>0</v>
      </c>
      <c r="U139">
        <v>0</v>
      </c>
      <c r="V139">
        <v>0</v>
      </c>
      <c r="W139">
        <v>0</v>
      </c>
      <c r="X139">
        <v>0</v>
      </c>
      <c r="Y139" s="5" t="s">
        <v>40</v>
      </c>
      <c r="Z139">
        <v>0</v>
      </c>
      <c r="AA139" s="5">
        <v>74.8</v>
      </c>
      <c r="AB139" s="5">
        <v>0</v>
      </c>
      <c r="AC139" s="5">
        <v>74.8</v>
      </c>
      <c r="AD139" s="5">
        <v>0</v>
      </c>
      <c r="AE139" s="5">
        <v>0</v>
      </c>
    </row>
    <row r="140">
      <c r="A140" s="2" t="str">
        <f>HYPERLINK("https://www.avito.ru/gatchina/uslugi/priem_metalloloma_priem_tsvetnogo_loma_8023656259","8023656259")</f>
      </c>
      <c r="B140" t="s">
        <v>73</v>
      </c>
      <c r="C140" t="s">
        <v>132</v>
      </c>
      <c r="D140" t="s">
        <v>133</v>
      </c>
      <c r="E140" t="s">
        <v>34</v>
      </c>
      <c r="F140" t="s">
        <v>35</v>
      </c>
      <c r="G140" t="s">
        <v>36</v>
      </c>
      <c r="H140" s="3" t="str">
        <f>HYPERLINK("https://www.avito.ru/gatchina/uslugi/priem_metalloloma_priem_tsvetnogo_loma_8023656259","Прием металлолома / Прием цветного лома")</f>
      </c>
      <c r="I140" t="s">
        <v>47</v>
      </c>
      <c r="J140" t="s">
        <v>38</v>
      </c>
      <c r="K140" t="s">
        <v>39</v>
      </c>
      <c r="L140">
        <v>4</v>
      </c>
      <c r="M140" t="s">
        <v>40</v>
      </c>
      <c r="N140">
        <v>29</v>
      </c>
      <c r="O140" s="4">
        <v>0.1379</v>
      </c>
      <c r="P140">
        <v>4</v>
      </c>
      <c r="Q140" s="5">
        <v>18.7</v>
      </c>
      <c r="R140" s="4">
        <v>0</v>
      </c>
      <c r="S140">
        <v>4</v>
      </c>
      <c r="T140">
        <v>0</v>
      </c>
      <c r="U140">
        <v>0</v>
      </c>
      <c r="V140">
        <v>0</v>
      </c>
      <c r="W140">
        <v>0</v>
      </c>
      <c r="X140">
        <v>0</v>
      </c>
      <c r="Y140" s="5" t="s">
        <v>40</v>
      </c>
      <c r="Z140">
        <v>0</v>
      </c>
      <c r="AA140" s="5">
        <v>74.8</v>
      </c>
      <c r="AB140" s="5">
        <v>0</v>
      </c>
      <c r="AC140" s="5">
        <v>74.8</v>
      </c>
      <c r="AD140" s="5">
        <v>0</v>
      </c>
      <c r="AE140" s="5">
        <v>0</v>
      </c>
    </row>
    <row r="141">
      <c r="A141" s="2" t="str">
        <f>HYPERLINK("https://www.avito.ru/sankt-peterburg/uslugi/priem_i_vyvoz_metalloloma_samovyvoz_loma_8023662399","8023662399")</f>
      </c>
      <c r="B141" t="s">
        <v>55</v>
      </c>
      <c r="C141" t="s">
        <v>56</v>
      </c>
      <c r="D141" t="s">
        <v>185</v>
      </c>
      <c r="E141" t="s">
        <v>34</v>
      </c>
      <c r="F141" t="s">
        <v>35</v>
      </c>
      <c r="G141" t="s">
        <v>36</v>
      </c>
      <c r="H141" s="3" t="str">
        <f>HYPERLINK("https://www.avito.ru/sankt-peterburg/uslugi/priem_i_vyvoz_metalloloma_samovyvoz_loma_8023662399","Прием и вывоз металлолома / Самовывоз лома")</f>
      </c>
      <c r="I141" t="s">
        <v>95</v>
      </c>
      <c r="J141" t="s">
        <v>96</v>
      </c>
      <c r="K141" t="s">
        <v>69</v>
      </c>
      <c r="L141">
        <v>8</v>
      </c>
      <c r="M141" t="s">
        <v>40</v>
      </c>
      <c r="N141">
        <v>25</v>
      </c>
      <c r="O141" s="4">
        <v>0.16</v>
      </c>
      <c r="P141">
        <v>4</v>
      </c>
      <c r="Q141" s="5">
        <v>20.4</v>
      </c>
      <c r="R141" s="4">
        <v>0</v>
      </c>
      <c r="S141">
        <v>4</v>
      </c>
      <c r="T141">
        <v>0</v>
      </c>
      <c r="U141">
        <v>0</v>
      </c>
      <c r="V141">
        <v>0</v>
      </c>
      <c r="W141">
        <v>0</v>
      </c>
      <c r="X141">
        <v>0</v>
      </c>
      <c r="Y141" s="5" t="s">
        <v>40</v>
      </c>
      <c r="Z141">
        <v>0</v>
      </c>
      <c r="AA141" s="5">
        <v>81.6</v>
      </c>
      <c r="AB141" s="5">
        <v>0</v>
      </c>
      <c r="AC141" s="5">
        <v>81.6</v>
      </c>
      <c r="AD141" s="5">
        <v>0</v>
      </c>
      <c r="AE141" s="5">
        <v>0</v>
      </c>
    </row>
    <row r="142">
      <c r="A142" s="2" t="str">
        <f>HYPERLINK("https://www.avito.ru/sankt-peterburg/uslugi/priem_loma_tsvetnyh_metallov_8023695145","8023695145")</f>
      </c>
      <c r="B142" t="s">
        <v>55</v>
      </c>
      <c r="C142" t="s">
        <v>56</v>
      </c>
      <c r="D142" t="s">
        <v>185</v>
      </c>
      <c r="E142" t="s">
        <v>34</v>
      </c>
      <c r="F142" t="s">
        <v>35</v>
      </c>
      <c r="G142" t="s">
        <v>36</v>
      </c>
      <c r="H142" s="3" t="str">
        <f>HYPERLINK("https://www.avito.ru/sankt-peterburg/uslugi/priem_loma_tsvetnyh_metallov_8023695145","Прием лома цветных металлов")</f>
      </c>
      <c r="I142" t="s">
        <v>41</v>
      </c>
      <c r="J142" t="s">
        <v>38</v>
      </c>
      <c r="K142" t="s">
        <v>39</v>
      </c>
      <c r="L142">
        <v>4</v>
      </c>
      <c r="M142" t="s">
        <v>40</v>
      </c>
      <c r="N142">
        <v>34</v>
      </c>
      <c r="O142" s="4">
        <v>0.1176</v>
      </c>
      <c r="P142">
        <v>4</v>
      </c>
      <c r="Q142" s="5">
        <v>20.4</v>
      </c>
      <c r="R142" s="4">
        <v>0</v>
      </c>
      <c r="S142">
        <v>4</v>
      </c>
      <c r="T142">
        <v>0</v>
      </c>
      <c r="U142">
        <v>0</v>
      </c>
      <c r="V142">
        <v>0</v>
      </c>
      <c r="W142">
        <v>0</v>
      </c>
      <c r="X142">
        <v>0</v>
      </c>
      <c r="Y142" s="5" t="s">
        <v>40</v>
      </c>
      <c r="Z142">
        <v>0</v>
      </c>
      <c r="AA142" s="5">
        <v>81.6</v>
      </c>
      <c r="AB142" s="5">
        <v>0</v>
      </c>
      <c r="AC142" s="5">
        <v>81.6</v>
      </c>
      <c r="AD142" s="5">
        <v>0</v>
      </c>
      <c r="AE142" s="5">
        <v>0</v>
      </c>
    </row>
    <row r="143">
      <c r="A143" s="2" t="str">
        <f>HYPERLINK("https://www.avito.ru/chudovo/uslugi/priem_metalloloma_priem_loma_demontazh_8023711605","8023711605")</f>
      </c>
      <c r="B143" t="s">
        <v>48</v>
      </c>
      <c r="C143" t="s">
        <v>183</v>
      </c>
      <c r="D143" t="s">
        <v>184</v>
      </c>
      <c r="E143" t="s">
        <v>34</v>
      </c>
      <c r="F143" t="s">
        <v>35</v>
      </c>
      <c r="G143" t="s">
        <v>36</v>
      </c>
      <c r="H143" s="3" t="str">
        <f>HYPERLINK("https://www.avito.ru/chudovo/uslugi/priem_metalloloma_priem_loma_demontazh_8023711605","Прием металлолома / Прием лома / Демонтаж")</f>
      </c>
      <c r="I143" t="s">
        <v>78</v>
      </c>
      <c r="J143" t="s">
        <v>38</v>
      </c>
      <c r="K143" t="s">
        <v>39</v>
      </c>
      <c r="L143">
        <v>4</v>
      </c>
      <c r="M143" t="s">
        <v>40</v>
      </c>
      <c r="N143">
        <v>25</v>
      </c>
      <c r="O143" s="4">
        <v>0.16</v>
      </c>
      <c r="P143">
        <v>4</v>
      </c>
      <c r="Q143" s="5">
        <v>5.1</v>
      </c>
      <c r="R143" s="4">
        <v>0</v>
      </c>
      <c r="S143">
        <v>4</v>
      </c>
      <c r="T143">
        <v>0</v>
      </c>
      <c r="U143">
        <v>0</v>
      </c>
      <c r="V143">
        <v>0</v>
      </c>
      <c r="W143">
        <v>0</v>
      </c>
      <c r="X143">
        <v>0</v>
      </c>
      <c r="Y143" s="5" t="s">
        <v>40</v>
      </c>
      <c r="Z143">
        <v>0</v>
      </c>
      <c r="AA143" s="5">
        <v>20.4</v>
      </c>
      <c r="AB143" s="5">
        <v>0</v>
      </c>
      <c r="AC143" s="5">
        <v>20.4</v>
      </c>
      <c r="AD143" s="5">
        <v>0</v>
      </c>
      <c r="AE143" s="5">
        <v>0</v>
      </c>
    </row>
    <row r="144">
      <c r="A144" s="2" t="str">
        <f>HYPERLINK("https://www.avito.ru/volosovo/uslugi/priem_loma_tsvetnyh_metallov_8023799696","8023799696")</f>
      </c>
      <c r="B144" t="s">
        <v>73</v>
      </c>
      <c r="C144" t="s">
        <v>203</v>
      </c>
      <c r="D144" t="s">
        <v>204</v>
      </c>
      <c r="E144" t="s">
        <v>34</v>
      </c>
      <c r="F144" t="s">
        <v>35</v>
      </c>
      <c r="G144" t="s">
        <v>36</v>
      </c>
      <c r="H144" s="3" t="str">
        <f>HYPERLINK("https://www.avito.ru/volosovo/uslugi/priem_loma_tsvetnyh_metallov_8023799696","Прием лома цветных металлов")</f>
      </c>
      <c r="I144" t="s">
        <v>47</v>
      </c>
      <c r="J144" t="s">
        <v>38</v>
      </c>
      <c r="K144" t="s">
        <v>39</v>
      </c>
      <c r="L144">
        <v>4</v>
      </c>
      <c r="M144" t="s">
        <v>40</v>
      </c>
      <c r="N144">
        <v>13</v>
      </c>
      <c r="O144" s="4">
        <v>0.3076</v>
      </c>
      <c r="P144">
        <v>4</v>
      </c>
      <c r="Q144" s="5">
        <v>14.02</v>
      </c>
      <c r="R144" s="4">
        <v>0</v>
      </c>
      <c r="S144">
        <v>3</v>
      </c>
      <c r="T144">
        <v>0</v>
      </c>
      <c r="U144">
        <v>0</v>
      </c>
      <c r="V144">
        <v>0</v>
      </c>
      <c r="W144">
        <v>0</v>
      </c>
      <c r="X144">
        <v>0</v>
      </c>
      <c r="Y144" s="5" t="s">
        <v>40</v>
      </c>
      <c r="Z144">
        <v>0</v>
      </c>
      <c r="AA144" s="5">
        <v>56.1</v>
      </c>
      <c r="AB144" s="5">
        <v>0</v>
      </c>
      <c r="AC144" s="5">
        <v>56.1</v>
      </c>
      <c r="AD144" s="5">
        <v>0</v>
      </c>
      <c r="AE144" s="5">
        <v>0</v>
      </c>
    </row>
    <row r="145">
      <c r="A145" s="2" t="str">
        <f>HYPERLINK("https://www.avito.ru/sankt-peterburg/uslugi/priem_metalloloma_demontazh_priem_metalla_8023841554","8023841554")</f>
      </c>
      <c r="B145" t="s">
        <v>55</v>
      </c>
      <c r="C145" t="s">
        <v>56</v>
      </c>
      <c r="D145" t="s">
        <v>170</v>
      </c>
      <c r="E145" t="s">
        <v>34</v>
      </c>
      <c r="F145" t="s">
        <v>35</v>
      </c>
      <c r="G145" t="s">
        <v>36</v>
      </c>
      <c r="H145" s="3" t="str">
        <f>HYPERLINK("https://www.avito.ru/sankt-peterburg/uslugi/priem_metalloloma_demontazh_priem_metalla_8023841554","Прием металлолома / Демонтаж / Прием металла")</f>
      </c>
      <c r="I145" t="s">
        <v>54</v>
      </c>
      <c r="J145" t="s">
        <v>186</v>
      </c>
      <c r="K145" t="s">
        <v>187</v>
      </c>
      <c r="L145">
        <v>6</v>
      </c>
      <c r="M145" t="s">
        <v>40</v>
      </c>
      <c r="N145">
        <v>71</v>
      </c>
      <c r="O145" s="4">
        <v>0.0563</v>
      </c>
      <c r="P145">
        <v>4</v>
      </c>
      <c r="Q145" s="5">
        <v>20.4</v>
      </c>
      <c r="R145" s="4">
        <v>0</v>
      </c>
      <c r="S145">
        <v>4</v>
      </c>
      <c r="T145">
        <v>0</v>
      </c>
      <c r="U145">
        <v>0</v>
      </c>
      <c r="V145">
        <v>0</v>
      </c>
      <c r="W145">
        <v>0</v>
      </c>
      <c r="X145">
        <v>0</v>
      </c>
      <c r="Y145" s="5" t="s">
        <v>40</v>
      </c>
      <c r="Z145">
        <v>0</v>
      </c>
      <c r="AA145" s="5">
        <v>81.6</v>
      </c>
      <c r="AB145" s="5">
        <v>0</v>
      </c>
      <c r="AC145" s="5">
        <v>81.6</v>
      </c>
      <c r="AD145" s="5">
        <v>0</v>
      </c>
      <c r="AE145" s="5">
        <v>0</v>
      </c>
    </row>
    <row r="146">
      <c r="A146" s="2" t="str">
        <f>HYPERLINK("https://www.avito.ru/arhangelsk/uslugi/priem_i_vyvoz_metalloloma_priem_redkih_metallov_8022908659","8022908659")</f>
      </c>
      <c r="B146" t="s">
        <v>116</v>
      </c>
      <c r="C146" t="s">
        <v>158</v>
      </c>
      <c r="D146" t="s">
        <v>159</v>
      </c>
      <c r="E146" t="s">
        <v>34</v>
      </c>
      <c r="F146" t="s">
        <v>35</v>
      </c>
      <c r="G146" t="s">
        <v>36</v>
      </c>
      <c r="H146" s="3" t="str">
        <f>HYPERLINK("https://www.avito.ru/arhangelsk/uslugi/priem_i_vyvoz_metalloloma_priem_redkih_metallov_8022908659","Прием и вывоз металлолома / Прием редких металлов")</f>
      </c>
      <c r="I146" t="s">
        <v>78</v>
      </c>
      <c r="J146" t="s">
        <v>38</v>
      </c>
      <c r="K146" t="s">
        <v>39</v>
      </c>
      <c r="L146">
        <v>4</v>
      </c>
      <c r="M146" t="s">
        <v>40</v>
      </c>
      <c r="N146">
        <v>44</v>
      </c>
      <c r="O146" s="4">
        <v>0.0681</v>
      </c>
      <c r="P146">
        <v>3</v>
      </c>
      <c r="Q146" s="5">
        <v>5.1</v>
      </c>
      <c r="R146" s="4">
        <v>0</v>
      </c>
      <c r="S146">
        <v>3</v>
      </c>
      <c r="T146">
        <v>0</v>
      </c>
      <c r="U146">
        <v>0</v>
      </c>
      <c r="V146">
        <v>0</v>
      </c>
      <c r="W146">
        <v>0</v>
      </c>
      <c r="X146">
        <v>0</v>
      </c>
      <c r="Y146" s="5" t="s">
        <v>40</v>
      </c>
      <c r="Z146">
        <v>0</v>
      </c>
      <c r="AA146" s="5">
        <v>15.3</v>
      </c>
      <c r="AB146" s="5">
        <v>0</v>
      </c>
      <c r="AC146" s="5">
        <v>15.3</v>
      </c>
      <c r="AD146" s="5">
        <v>0</v>
      </c>
      <c r="AE146" s="5">
        <v>0</v>
      </c>
    </row>
    <row r="147">
      <c r="A147" s="2" t="str">
        <f>HYPERLINK("https://www.avito.ru/lodeynoe_pole/uslugi/priem_metalloloma_priem_chernogo_loma_opt_8022932967","8022932967")</f>
      </c>
      <c r="B147" t="s">
        <v>73</v>
      </c>
      <c r="C147" t="s">
        <v>188</v>
      </c>
      <c r="D147" t="s">
        <v>188</v>
      </c>
      <c r="E147" t="s">
        <v>34</v>
      </c>
      <c r="F147" t="s">
        <v>35</v>
      </c>
      <c r="G147" t="s">
        <v>36</v>
      </c>
      <c r="H147" s="3" t="str">
        <f>HYPERLINK("https://www.avito.ru/lodeynoe_pole/uslugi/priem_metalloloma_priem_chernogo_loma_opt_8022932967","Прием металлолома / Прием черного лома опт")</f>
      </c>
      <c r="I147" t="s">
        <v>41</v>
      </c>
      <c r="J147" t="s">
        <v>38</v>
      </c>
      <c r="K147" t="s">
        <v>39</v>
      </c>
      <c r="L147">
        <v>4</v>
      </c>
      <c r="M147" t="s">
        <v>40</v>
      </c>
      <c r="N147">
        <v>16</v>
      </c>
      <c r="O147" s="4">
        <v>0.1875</v>
      </c>
      <c r="P147">
        <v>3</v>
      </c>
      <c r="Q147" s="5">
        <v>18.7</v>
      </c>
      <c r="R147" s="4">
        <v>0.3333</v>
      </c>
      <c r="S147">
        <v>3</v>
      </c>
      <c r="T147">
        <v>1</v>
      </c>
      <c r="U147">
        <v>1</v>
      </c>
      <c r="V147">
        <v>0</v>
      </c>
      <c r="W147">
        <v>0</v>
      </c>
      <c r="X147">
        <v>0</v>
      </c>
      <c r="Y147" s="5">
        <v>56.1</v>
      </c>
      <c r="Z147">
        <v>0</v>
      </c>
      <c r="AA147" s="5">
        <v>56.1</v>
      </c>
      <c r="AB147" s="5">
        <v>0</v>
      </c>
      <c r="AC147" s="5">
        <v>56.1</v>
      </c>
      <c r="AD147" s="5">
        <v>0</v>
      </c>
      <c r="AE147" s="5">
        <v>0</v>
      </c>
    </row>
    <row r="148">
      <c r="A148" s="2" t="str">
        <f>HYPERLINK("https://www.avito.ru/sankt-peterburg/uslugi/priem_i_vyvoz_metalloloma_priem_metalla_8023097848","8023097848")</f>
      </c>
      <c r="B148" t="s">
        <v>55</v>
      </c>
      <c r="C148" t="s">
        <v>56</v>
      </c>
      <c r="D148" t="s">
        <v>194</v>
      </c>
      <c r="E148" t="s">
        <v>34</v>
      </c>
      <c r="F148" t="s">
        <v>35</v>
      </c>
      <c r="G148" t="s">
        <v>36</v>
      </c>
      <c r="H148" s="3" t="str">
        <f>HYPERLINK("https://www.avito.ru/sankt-peterburg/uslugi/priem_i_vyvoz_metalloloma_priem_metalla_8023097848","Прием и вывоз металлолома / Прием металла")</f>
      </c>
      <c r="I148" t="s">
        <v>85</v>
      </c>
      <c r="J148" t="s">
        <v>111</v>
      </c>
      <c r="K148" t="s">
        <v>112</v>
      </c>
      <c r="L148">
        <v>5</v>
      </c>
      <c r="M148" t="s">
        <v>40</v>
      </c>
      <c r="N148">
        <v>68</v>
      </c>
      <c r="O148" s="4">
        <v>0.0441</v>
      </c>
      <c r="P148">
        <v>3</v>
      </c>
      <c r="Q148" s="5">
        <v>20.4</v>
      </c>
      <c r="R148" s="4">
        <v>0</v>
      </c>
      <c r="S148">
        <v>3</v>
      </c>
      <c r="T148">
        <v>0</v>
      </c>
      <c r="U148">
        <v>0</v>
      </c>
      <c r="V148">
        <v>0</v>
      </c>
      <c r="W148">
        <v>0</v>
      </c>
      <c r="X148">
        <v>0</v>
      </c>
      <c r="Y148" s="5" t="s">
        <v>40</v>
      </c>
      <c r="Z148">
        <v>0</v>
      </c>
      <c r="AA148" s="5">
        <v>61.2</v>
      </c>
      <c r="AB148" s="5">
        <v>0</v>
      </c>
      <c r="AC148" s="5">
        <v>61.2</v>
      </c>
      <c r="AD148" s="5">
        <v>0</v>
      </c>
      <c r="AE148" s="5">
        <v>0</v>
      </c>
    </row>
    <row r="149">
      <c r="A149" s="2" t="str">
        <f>HYPERLINK("https://www.avito.ru/tosno/uslugi/priem_metalloloma_demontazh_vyvoz_metalla_8023129056","8023129056")</f>
      </c>
      <c r="B149" t="s">
        <v>73</v>
      </c>
      <c r="C149" t="s">
        <v>175</v>
      </c>
      <c r="D149" t="s">
        <v>176</v>
      </c>
      <c r="E149" t="s">
        <v>34</v>
      </c>
      <c r="F149" t="s">
        <v>35</v>
      </c>
      <c r="G149" t="s">
        <v>36</v>
      </c>
      <c r="H149" s="3" t="str">
        <f>HYPERLINK("https://www.avito.ru/tosno/uslugi/priem_metalloloma_demontazh_vyvoz_metalla_8023129056","Прием металлолома / Демонтаж / Вывоз металла")</f>
      </c>
      <c r="I149" t="s">
        <v>151</v>
      </c>
      <c r="J149" t="s">
        <v>38</v>
      </c>
      <c r="K149" t="s">
        <v>39</v>
      </c>
      <c r="L149">
        <v>4</v>
      </c>
      <c r="M149" t="s">
        <v>40</v>
      </c>
      <c r="N149">
        <v>14</v>
      </c>
      <c r="O149" s="4">
        <v>0.2142</v>
      </c>
      <c r="P149">
        <v>3</v>
      </c>
      <c r="Q149" s="5">
        <v>18.7</v>
      </c>
      <c r="R149" s="4">
        <v>0</v>
      </c>
      <c r="S149">
        <v>3</v>
      </c>
      <c r="T149">
        <v>0</v>
      </c>
      <c r="U149">
        <v>0</v>
      </c>
      <c r="V149">
        <v>0</v>
      </c>
      <c r="W149">
        <v>0</v>
      </c>
      <c r="X149">
        <v>0</v>
      </c>
      <c r="Y149" s="5" t="s">
        <v>40</v>
      </c>
      <c r="Z149">
        <v>0</v>
      </c>
      <c r="AA149" s="5">
        <v>56.1</v>
      </c>
      <c r="AB149" s="5">
        <v>0</v>
      </c>
      <c r="AC149" s="5">
        <v>56.1</v>
      </c>
      <c r="AD149" s="5">
        <v>0</v>
      </c>
      <c r="AE149" s="5">
        <v>0</v>
      </c>
    </row>
    <row r="150">
      <c r="A150" s="2" t="str">
        <f>HYPERLINK("https://www.avito.ru/sankt-peterburg/uslugi/priem_i_vyvoz_metalloloma_sdat_lom_8023129609","8023129609")</f>
      </c>
      <c r="B150" t="s">
        <v>55</v>
      </c>
      <c r="C150" t="s">
        <v>56</v>
      </c>
      <c r="D150" t="s">
        <v>88</v>
      </c>
      <c r="E150" t="s">
        <v>34</v>
      </c>
      <c r="F150" t="s">
        <v>35</v>
      </c>
      <c r="G150" t="s">
        <v>36</v>
      </c>
      <c r="H150" s="3" t="str">
        <f>HYPERLINK("https://www.avito.ru/sankt-peterburg/uslugi/priem_i_vyvoz_metalloloma_sdat_lom_8023129609","Прием и вывоз металлолома / Сдать лом")</f>
      </c>
      <c r="I150" t="s">
        <v>151</v>
      </c>
      <c r="J150" t="s">
        <v>186</v>
      </c>
      <c r="K150" t="s">
        <v>187</v>
      </c>
      <c r="L150">
        <v>6</v>
      </c>
      <c r="M150" t="s">
        <v>40</v>
      </c>
      <c r="N150">
        <v>116</v>
      </c>
      <c r="O150" s="4">
        <v>0.0258</v>
      </c>
      <c r="P150">
        <v>3</v>
      </c>
      <c r="Q150" s="5">
        <v>20.4</v>
      </c>
      <c r="R150" s="4">
        <v>0</v>
      </c>
      <c r="S150">
        <v>3</v>
      </c>
      <c r="T150">
        <v>0</v>
      </c>
      <c r="U150">
        <v>0</v>
      </c>
      <c r="V150">
        <v>0</v>
      </c>
      <c r="W150">
        <v>0</v>
      </c>
      <c r="X150">
        <v>0</v>
      </c>
      <c r="Y150" s="5" t="s">
        <v>40</v>
      </c>
      <c r="Z150">
        <v>0</v>
      </c>
      <c r="AA150" s="5">
        <v>61.2</v>
      </c>
      <c r="AB150" s="5">
        <v>0</v>
      </c>
      <c r="AC150" s="5">
        <v>61.2</v>
      </c>
      <c r="AD150" s="5">
        <v>0</v>
      </c>
      <c r="AE150" s="5">
        <v>0</v>
      </c>
    </row>
    <row r="151">
      <c r="A151" s="2" t="str">
        <f>HYPERLINK("https://www.avito.ru/sankt-peterburg/uslugi/priem_loma_priem_tsvetnogo_loma_priem_chermeta_8023171610","8023171610")</f>
      </c>
      <c r="B151" t="s">
        <v>55</v>
      </c>
      <c r="C151" t="s">
        <v>56</v>
      </c>
      <c r="D151" t="s">
        <v>79</v>
      </c>
      <c r="E151" t="s">
        <v>34</v>
      </c>
      <c r="F151" t="s">
        <v>35</v>
      </c>
      <c r="G151" t="s">
        <v>36</v>
      </c>
      <c r="H151" s="3" t="str">
        <f>HYPERLINK("https://www.avito.ru/sankt-peterburg/uslugi/priem_loma_priem_tsvetnogo_loma_priem_chermeta_8023171610","Прием лома / Прием цветного лома / Прием чермета")</f>
      </c>
      <c r="I151" t="s">
        <v>85</v>
      </c>
      <c r="J151" t="s">
        <v>86</v>
      </c>
      <c r="K151" t="s">
        <v>87</v>
      </c>
      <c r="L151">
        <v>7</v>
      </c>
      <c r="M151" t="s">
        <v>40</v>
      </c>
      <c r="N151">
        <v>95</v>
      </c>
      <c r="O151" s="4">
        <v>0.0315</v>
      </c>
      <c r="P151">
        <v>3</v>
      </c>
      <c r="Q151" s="5">
        <v>20.4</v>
      </c>
      <c r="R151" s="4">
        <v>0</v>
      </c>
      <c r="S151">
        <v>3</v>
      </c>
      <c r="T151">
        <v>0</v>
      </c>
      <c r="U151">
        <v>0</v>
      </c>
      <c r="V151">
        <v>0</v>
      </c>
      <c r="W151">
        <v>0</v>
      </c>
      <c r="X151">
        <v>0</v>
      </c>
      <c r="Y151" s="5" t="s">
        <v>40</v>
      </c>
      <c r="Z151">
        <v>0</v>
      </c>
      <c r="AA151" s="5">
        <v>61.2</v>
      </c>
      <c r="AB151" s="5">
        <v>0</v>
      </c>
      <c r="AC151" s="5">
        <v>61.2</v>
      </c>
      <c r="AD151" s="5">
        <v>0</v>
      </c>
      <c r="AE151" s="5">
        <v>0</v>
      </c>
    </row>
    <row r="152">
      <c r="A152" s="2" t="str">
        <f>HYPERLINK("https://www.avito.ru/kudrovo/uslugi/priem_metalloloma_priem_tsvetnogo_loma_8023233430","8023233430")</f>
      </c>
      <c r="B152" t="s">
        <v>73</v>
      </c>
      <c r="C152" t="s">
        <v>205</v>
      </c>
      <c r="D152" t="s">
        <v>206</v>
      </c>
      <c r="E152" t="s">
        <v>34</v>
      </c>
      <c r="F152" t="s">
        <v>35</v>
      </c>
      <c r="G152" t="s">
        <v>36</v>
      </c>
      <c r="H152" s="3" t="str">
        <f>HYPERLINK("https://www.avito.ru/kudrovo/uslugi/priem_metalloloma_priem_tsvetnogo_loma_8023233430","Прием металлолома / Прием цветного лома")</f>
      </c>
      <c r="I152" t="s">
        <v>72</v>
      </c>
      <c r="J152" t="s">
        <v>38</v>
      </c>
      <c r="K152" t="s">
        <v>39</v>
      </c>
      <c r="L152">
        <v>4</v>
      </c>
      <c r="M152" t="s">
        <v>40</v>
      </c>
      <c r="N152">
        <v>8</v>
      </c>
      <c r="O152" s="4">
        <v>0.375</v>
      </c>
      <c r="P152">
        <v>3</v>
      </c>
      <c r="Q152" s="5">
        <v>18.7</v>
      </c>
      <c r="R152" s="4">
        <v>0</v>
      </c>
      <c r="S152">
        <v>3</v>
      </c>
      <c r="T152">
        <v>0</v>
      </c>
      <c r="U152">
        <v>0</v>
      </c>
      <c r="V152">
        <v>0</v>
      </c>
      <c r="W152">
        <v>0</v>
      </c>
      <c r="X152">
        <v>0</v>
      </c>
      <c r="Y152" s="5" t="s">
        <v>40</v>
      </c>
      <c r="Z152">
        <v>0</v>
      </c>
      <c r="AA152" s="5">
        <v>56.1</v>
      </c>
      <c r="AB152" s="5">
        <v>0</v>
      </c>
      <c r="AC152" s="5">
        <v>56.1</v>
      </c>
      <c r="AD152" s="5">
        <v>0</v>
      </c>
      <c r="AE152" s="5">
        <v>0</v>
      </c>
    </row>
    <row r="153">
      <c r="A153" s="2" t="str">
        <f>HYPERLINK("https://www.avito.ru/sankt-peterburg/uslugi/priem_tsvetnogo_metalloloma_8023331092","8023331092")</f>
      </c>
      <c r="B153" t="s">
        <v>55</v>
      </c>
      <c r="C153" t="s">
        <v>56</v>
      </c>
      <c r="D153" t="s">
        <v>207</v>
      </c>
      <c r="E153" t="s">
        <v>34</v>
      </c>
      <c r="F153" t="s">
        <v>35</v>
      </c>
      <c r="G153" t="s">
        <v>36</v>
      </c>
      <c r="H153" s="3" t="str">
        <f>HYPERLINK("https://www.avito.ru/sankt-peterburg/uslugi/priem_tsvetnogo_metalloloma_8023331092","Прием цветного металлолома")</f>
      </c>
      <c r="I153" t="s">
        <v>54</v>
      </c>
      <c r="J153" t="s">
        <v>38</v>
      </c>
      <c r="K153" t="s">
        <v>39</v>
      </c>
      <c r="L153">
        <v>4</v>
      </c>
      <c r="M153" t="s">
        <v>40</v>
      </c>
      <c r="N153">
        <v>16</v>
      </c>
      <c r="O153" s="4">
        <v>0.1875</v>
      </c>
      <c r="P153">
        <v>3</v>
      </c>
      <c r="Q153" s="5">
        <v>20.4</v>
      </c>
      <c r="R153" s="4">
        <v>0</v>
      </c>
      <c r="S153">
        <v>3</v>
      </c>
      <c r="T153">
        <v>0</v>
      </c>
      <c r="U153">
        <v>0</v>
      </c>
      <c r="V153">
        <v>0</v>
      </c>
      <c r="W153">
        <v>0</v>
      </c>
      <c r="X153">
        <v>0</v>
      </c>
      <c r="Y153" s="5" t="s">
        <v>40</v>
      </c>
      <c r="Z153">
        <v>0</v>
      </c>
      <c r="AA153" s="5">
        <v>61.2</v>
      </c>
      <c r="AB153" s="5">
        <v>0</v>
      </c>
      <c r="AC153" s="5">
        <v>61.2</v>
      </c>
      <c r="AD153" s="5">
        <v>0</v>
      </c>
      <c r="AE153" s="5">
        <v>0</v>
      </c>
    </row>
    <row r="154">
      <c r="A154" s="2" t="str">
        <f>HYPERLINK("https://www.avito.ru/sankt-peterburg/uslugi/priem_metalloloma_demontazh_priem_metalla_8023437588","8023437588")</f>
      </c>
      <c r="B154" t="s">
        <v>55</v>
      </c>
      <c r="C154" t="s">
        <v>56</v>
      </c>
      <c r="D154" t="s">
        <v>182</v>
      </c>
      <c r="E154" t="s">
        <v>34</v>
      </c>
      <c r="F154" t="s">
        <v>35</v>
      </c>
      <c r="G154" t="s">
        <v>36</v>
      </c>
      <c r="H154" s="3" t="str">
        <f>HYPERLINK("https://www.avito.ru/sankt-peterburg/uslugi/priem_metalloloma_demontazh_priem_metalla_8023437588","Прием металлолома / Демонтаж / Прием металла")</f>
      </c>
      <c r="I154" t="s">
        <v>95</v>
      </c>
      <c r="J154" t="s">
        <v>96</v>
      </c>
      <c r="K154" t="s">
        <v>69</v>
      </c>
      <c r="L154">
        <v>8</v>
      </c>
      <c r="M154" t="s">
        <v>40</v>
      </c>
      <c r="N154">
        <v>14</v>
      </c>
      <c r="O154" s="4">
        <v>0.2142</v>
      </c>
      <c r="P154">
        <v>3</v>
      </c>
      <c r="Q154" s="5">
        <v>20.4</v>
      </c>
      <c r="R154" s="4">
        <v>0.3333</v>
      </c>
      <c r="S154">
        <v>3</v>
      </c>
      <c r="T154">
        <v>1</v>
      </c>
      <c r="U154">
        <v>0</v>
      </c>
      <c r="V154">
        <v>1</v>
      </c>
      <c r="W154">
        <v>0</v>
      </c>
      <c r="X154">
        <v>0</v>
      </c>
      <c r="Y154" s="5">
        <v>61.2</v>
      </c>
      <c r="Z154">
        <v>0</v>
      </c>
      <c r="AA154" s="5">
        <v>61.2</v>
      </c>
      <c r="AB154" s="5">
        <v>0</v>
      </c>
      <c r="AC154" s="5">
        <v>61.2</v>
      </c>
      <c r="AD154" s="5">
        <v>0</v>
      </c>
      <c r="AE154" s="5">
        <v>0</v>
      </c>
    </row>
    <row r="155">
      <c r="A155" s="2" t="str">
        <f>HYPERLINK("https://www.avito.ru/sankt-peterburg/uslugi/priem_i_vyvoz_metalloloma_sdat_lom_8023514427","8023514427")</f>
      </c>
      <c r="B155" t="s">
        <v>55</v>
      </c>
      <c r="C155" t="s">
        <v>56</v>
      </c>
      <c r="D155" t="s">
        <v>207</v>
      </c>
      <c r="E155" t="s">
        <v>34</v>
      </c>
      <c r="F155" t="s">
        <v>35</v>
      </c>
      <c r="G155" t="s">
        <v>36</v>
      </c>
      <c r="H155" s="3" t="str">
        <f>HYPERLINK("https://www.avito.ru/sankt-peterburg/uslugi/priem_i_vyvoz_metalloloma_sdat_lom_8023514427","Прием и вывоз металлолома / Сдать лом")</f>
      </c>
      <c r="I155" t="s">
        <v>85</v>
      </c>
      <c r="J155" t="s">
        <v>186</v>
      </c>
      <c r="K155" t="s">
        <v>187</v>
      </c>
      <c r="L155">
        <v>6</v>
      </c>
      <c r="M155" t="s">
        <v>40</v>
      </c>
      <c r="N155">
        <v>36</v>
      </c>
      <c r="O155" s="4">
        <v>0.0833</v>
      </c>
      <c r="P155">
        <v>3</v>
      </c>
      <c r="Q155" s="5">
        <v>20.4</v>
      </c>
      <c r="R155" s="4">
        <v>0</v>
      </c>
      <c r="S155">
        <v>3</v>
      </c>
      <c r="T155">
        <v>0</v>
      </c>
      <c r="U155">
        <v>0</v>
      </c>
      <c r="V155">
        <v>0</v>
      </c>
      <c r="W155">
        <v>0</v>
      </c>
      <c r="X155">
        <v>0</v>
      </c>
      <c r="Y155" s="5" t="s">
        <v>40</v>
      </c>
      <c r="Z155">
        <v>0</v>
      </c>
      <c r="AA155" s="5">
        <v>61.2</v>
      </c>
      <c r="AB155" s="5">
        <v>0</v>
      </c>
      <c r="AC155" s="5">
        <v>61.2</v>
      </c>
      <c r="AD155" s="5">
        <v>0</v>
      </c>
      <c r="AE155" s="5">
        <v>0</v>
      </c>
    </row>
    <row r="156">
      <c r="A156" s="2" t="str">
        <f>HYPERLINK("https://www.avito.ru/vsevolozhsk/uslugi/priem_loma_tsvetnyh_metallov_8023520570","8023520570")</f>
      </c>
      <c r="B156" t="s">
        <v>73</v>
      </c>
      <c r="C156" t="s">
        <v>164</v>
      </c>
      <c r="D156" t="s">
        <v>165</v>
      </c>
      <c r="E156" t="s">
        <v>34</v>
      </c>
      <c r="F156" t="s">
        <v>35</v>
      </c>
      <c r="G156" t="s">
        <v>36</v>
      </c>
      <c r="H156" s="3" t="str">
        <f>HYPERLINK("https://www.avito.ru/vsevolozhsk/uslugi/priem_loma_tsvetnyh_metallov_8023520570","Прием лома цветных металлов")</f>
      </c>
      <c r="I156" t="s">
        <v>65</v>
      </c>
      <c r="J156" t="s">
        <v>38</v>
      </c>
      <c r="K156" t="s">
        <v>39</v>
      </c>
      <c r="L156">
        <v>4</v>
      </c>
      <c r="M156" t="s">
        <v>40</v>
      </c>
      <c r="N156">
        <v>7</v>
      </c>
      <c r="O156" s="4">
        <v>0.4285</v>
      </c>
      <c r="P156">
        <v>3</v>
      </c>
      <c r="Q156" s="5">
        <v>18.7</v>
      </c>
      <c r="R156" s="4">
        <v>0.3333</v>
      </c>
      <c r="S156">
        <v>3</v>
      </c>
      <c r="T156">
        <v>1</v>
      </c>
      <c r="U156">
        <v>0</v>
      </c>
      <c r="V156">
        <v>1</v>
      </c>
      <c r="W156">
        <v>0</v>
      </c>
      <c r="X156">
        <v>0</v>
      </c>
      <c r="Y156" s="5">
        <v>56.1</v>
      </c>
      <c r="Z156">
        <v>0</v>
      </c>
      <c r="AA156" s="5">
        <v>56.1</v>
      </c>
      <c r="AB156" s="5">
        <v>0</v>
      </c>
      <c r="AC156" s="5">
        <v>56.1</v>
      </c>
      <c r="AD156" s="5">
        <v>0</v>
      </c>
      <c r="AE156" s="5">
        <v>0</v>
      </c>
    </row>
    <row r="157">
      <c r="A157" s="2" t="str">
        <f>HYPERLINK("https://www.avito.ru/pikalevo/uslugi/priem_metalloloma_priem_chernogo_loma_opt_8023594630","8023594630")</f>
      </c>
      <c r="B157" t="s">
        <v>73</v>
      </c>
      <c r="C157" t="s">
        <v>102</v>
      </c>
      <c r="D157" t="s">
        <v>103</v>
      </c>
      <c r="E157" t="s">
        <v>34</v>
      </c>
      <c r="F157" t="s">
        <v>35</v>
      </c>
      <c r="G157" t="s">
        <v>36</v>
      </c>
      <c r="H157" s="3" t="str">
        <f>HYPERLINK("https://www.avito.ru/pikalevo/uslugi/priem_metalloloma_priem_chernogo_loma_opt_8023594630","Прием металлолома / Прием черного лома опт")</f>
      </c>
      <c r="I157" t="s">
        <v>37</v>
      </c>
      <c r="J157" t="s">
        <v>38</v>
      </c>
      <c r="K157" t="s">
        <v>39</v>
      </c>
      <c r="L157">
        <v>4</v>
      </c>
      <c r="M157" t="s">
        <v>40</v>
      </c>
      <c r="N157">
        <v>12</v>
      </c>
      <c r="O157" s="4">
        <v>0.25</v>
      </c>
      <c r="P157">
        <v>3</v>
      </c>
      <c r="Q157" s="5">
        <v>18.7</v>
      </c>
      <c r="R157" s="4">
        <v>0</v>
      </c>
      <c r="S157">
        <v>3</v>
      </c>
      <c r="T157">
        <v>0</v>
      </c>
      <c r="U157">
        <v>0</v>
      </c>
      <c r="V157">
        <v>0</v>
      </c>
      <c r="W157">
        <v>0</v>
      </c>
      <c r="X157">
        <v>0</v>
      </c>
      <c r="Y157" s="5" t="s">
        <v>40</v>
      </c>
      <c r="Z157">
        <v>0</v>
      </c>
      <c r="AA157" s="5">
        <v>56.1</v>
      </c>
      <c r="AB157" s="5">
        <v>0</v>
      </c>
      <c r="AC157" s="5">
        <v>56.1</v>
      </c>
      <c r="AD157" s="5">
        <v>0</v>
      </c>
      <c r="AE157" s="5">
        <v>0</v>
      </c>
    </row>
    <row r="158">
      <c r="A158" s="2" t="str">
        <f>HYPERLINK("https://www.avito.ru/severodvinsk/uslugi/priem_i_vyvoz_metalloloma_priem_redkih_metallov_8023689104","8023689104")</f>
      </c>
      <c r="B158" t="s">
        <v>116</v>
      </c>
      <c r="C158" t="s">
        <v>117</v>
      </c>
      <c r="D158" t="s">
        <v>118</v>
      </c>
      <c r="E158" t="s">
        <v>34</v>
      </c>
      <c r="F158" t="s">
        <v>35</v>
      </c>
      <c r="G158" t="s">
        <v>36</v>
      </c>
      <c r="H158" s="3" t="str">
        <f>HYPERLINK("https://www.avito.ru/severodvinsk/uslugi/priem_i_vyvoz_metalloloma_priem_redkih_metallov_8023689104","Прием и вывоз металлолома / Прием редких металлов")</f>
      </c>
      <c r="I158" t="s">
        <v>78</v>
      </c>
      <c r="J158" t="s">
        <v>38</v>
      </c>
      <c r="K158" t="s">
        <v>39</v>
      </c>
      <c r="L158">
        <v>4</v>
      </c>
      <c r="M158" t="s">
        <v>40</v>
      </c>
      <c r="N158">
        <v>31</v>
      </c>
      <c r="O158" s="4">
        <v>0.0967</v>
      </c>
      <c r="P158">
        <v>3</v>
      </c>
      <c r="Q158" s="5">
        <v>5.1</v>
      </c>
      <c r="R158" s="4">
        <v>0</v>
      </c>
      <c r="S158">
        <v>3</v>
      </c>
      <c r="T158">
        <v>0</v>
      </c>
      <c r="U158">
        <v>0</v>
      </c>
      <c r="V158">
        <v>0</v>
      </c>
      <c r="W158">
        <v>0</v>
      </c>
      <c r="X158">
        <v>0</v>
      </c>
      <c r="Y158" s="5" t="s">
        <v>40</v>
      </c>
      <c r="Z158">
        <v>0</v>
      </c>
      <c r="AA158" s="5">
        <v>15.3</v>
      </c>
      <c r="AB158" s="5">
        <v>0</v>
      </c>
      <c r="AC158" s="5">
        <v>15.3</v>
      </c>
      <c r="AD158" s="5">
        <v>0</v>
      </c>
      <c r="AE158" s="5">
        <v>0</v>
      </c>
    </row>
    <row r="159">
      <c r="A159" s="2" t="str">
        <f>HYPERLINK("https://www.avito.ru/babaevo/uslugi/priem_metalloloma_demontazh_priem_metalla_8023753279","8023753279")</f>
      </c>
      <c r="B159" t="s">
        <v>42</v>
      </c>
      <c r="C159" t="s">
        <v>156</v>
      </c>
      <c r="D159" t="s">
        <v>157</v>
      </c>
      <c r="E159" t="s">
        <v>34</v>
      </c>
      <c r="F159" t="s">
        <v>35</v>
      </c>
      <c r="G159" t="s">
        <v>36</v>
      </c>
      <c r="H159" s="3" t="str">
        <f>HYPERLINK("https://www.avito.ru/babaevo/uslugi/priem_metalloloma_demontazh_priem_metalla_8023753279","Прием металлолома / Демонтаж / Прием металла")</f>
      </c>
      <c r="I159" t="s">
        <v>78</v>
      </c>
      <c r="J159" t="s">
        <v>38</v>
      </c>
      <c r="K159" t="s">
        <v>39</v>
      </c>
      <c r="L159">
        <v>4</v>
      </c>
      <c r="M159" t="s">
        <v>40</v>
      </c>
      <c r="N159">
        <v>20</v>
      </c>
      <c r="O159" s="4">
        <v>0.15</v>
      </c>
      <c r="P159">
        <v>3</v>
      </c>
      <c r="Q159" s="5">
        <v>5.1</v>
      </c>
      <c r="R159" s="4">
        <v>0</v>
      </c>
      <c r="S159">
        <v>3</v>
      </c>
      <c r="T159">
        <v>0</v>
      </c>
      <c r="U159">
        <v>0</v>
      </c>
      <c r="V159">
        <v>0</v>
      </c>
      <c r="W159">
        <v>0</v>
      </c>
      <c r="X159">
        <v>0</v>
      </c>
      <c r="Y159" s="5" t="s">
        <v>40</v>
      </c>
      <c r="Z159">
        <v>0</v>
      </c>
      <c r="AA159" s="5">
        <v>15.3</v>
      </c>
      <c r="AB159" s="5">
        <v>0</v>
      </c>
      <c r="AC159" s="5">
        <v>15.3</v>
      </c>
      <c r="AD159" s="5">
        <v>0</v>
      </c>
      <c r="AE159" s="5">
        <v>0</v>
      </c>
    </row>
    <row r="160">
      <c r="A160" s="2" t="str">
        <f>HYPERLINK("https://www.avito.ru/petrozavodsk/uslugi/priem_metalla_demontazh_priem_metalloloma_8023755702","8023755702")</f>
      </c>
      <c r="B160" t="s">
        <v>51</v>
      </c>
      <c r="C160" t="s">
        <v>52</v>
      </c>
      <c r="D160" t="s">
        <v>53</v>
      </c>
      <c r="E160" t="s">
        <v>34</v>
      </c>
      <c r="F160" t="s">
        <v>35</v>
      </c>
      <c r="G160" t="s">
        <v>36</v>
      </c>
      <c r="H160" s="3" t="str">
        <f>HYPERLINK("https://www.avito.ru/petrozavodsk/uslugi/priem_metalla_demontazh_priem_metalloloma_8023755702","Прием металла / Демонтаж / Прием металлолома")</f>
      </c>
      <c r="I160" t="s">
        <v>78</v>
      </c>
      <c r="J160" t="s">
        <v>38</v>
      </c>
      <c r="K160" t="s">
        <v>39</v>
      </c>
      <c r="L160">
        <v>4</v>
      </c>
      <c r="M160" t="s">
        <v>40</v>
      </c>
      <c r="N160">
        <v>27</v>
      </c>
      <c r="O160" s="4">
        <v>0.1111</v>
      </c>
      <c r="P160">
        <v>3</v>
      </c>
      <c r="Q160" s="5">
        <v>5.1</v>
      </c>
      <c r="R160" s="4">
        <v>0.3333</v>
      </c>
      <c r="S160">
        <v>3</v>
      </c>
      <c r="T160">
        <v>1</v>
      </c>
      <c r="U160">
        <v>0</v>
      </c>
      <c r="V160">
        <v>1</v>
      </c>
      <c r="W160">
        <v>0</v>
      </c>
      <c r="X160">
        <v>0</v>
      </c>
      <c r="Y160" s="5">
        <v>15.3</v>
      </c>
      <c r="Z160">
        <v>0</v>
      </c>
      <c r="AA160" s="5">
        <v>15.3</v>
      </c>
      <c r="AB160" s="5">
        <v>0</v>
      </c>
      <c r="AC160" s="5">
        <v>15.3</v>
      </c>
      <c r="AD160" s="5">
        <v>0</v>
      </c>
      <c r="AE160" s="5">
        <v>0</v>
      </c>
    </row>
    <row r="161">
      <c r="A161" s="2" t="str">
        <f>HYPERLINK("https://www.avito.ru/vologda/uslugi/priem_i_vyvoz_metalloloma_priem_metalla_8023864157","8023864157")</f>
      </c>
      <c r="B161" t="s">
        <v>42</v>
      </c>
      <c r="C161" t="s">
        <v>45</v>
      </c>
      <c r="D161" t="s">
        <v>46</v>
      </c>
      <c r="E161" t="s">
        <v>34</v>
      </c>
      <c r="F161" t="s">
        <v>35</v>
      </c>
      <c r="G161" t="s">
        <v>36</v>
      </c>
      <c r="H161" s="3" t="str">
        <f>HYPERLINK("https://www.avito.ru/vologda/uslugi/priem_i_vyvoz_metalloloma_priem_metalla_8023864157","Прием и вывоз металлолома / Прием металла")</f>
      </c>
      <c r="I161" t="s">
        <v>78</v>
      </c>
      <c r="J161" t="s">
        <v>38</v>
      </c>
      <c r="K161" t="s">
        <v>39</v>
      </c>
      <c r="L161">
        <v>4</v>
      </c>
      <c r="M161" t="s">
        <v>40</v>
      </c>
      <c r="N161">
        <v>38</v>
      </c>
      <c r="O161" s="4">
        <v>0.0789</v>
      </c>
      <c r="P161">
        <v>3</v>
      </c>
      <c r="Q161" s="5">
        <v>5.1</v>
      </c>
      <c r="R161" s="4">
        <v>0</v>
      </c>
      <c r="S161">
        <v>3</v>
      </c>
      <c r="T161">
        <v>0</v>
      </c>
      <c r="U161">
        <v>0</v>
      </c>
      <c r="V161">
        <v>0</v>
      </c>
      <c r="W161">
        <v>0</v>
      </c>
      <c r="X161">
        <v>0</v>
      </c>
      <c r="Y161" s="5" t="s">
        <v>40</v>
      </c>
      <c r="Z161">
        <v>0</v>
      </c>
      <c r="AA161" s="5">
        <v>15.3</v>
      </c>
      <c r="AB161" s="5">
        <v>0</v>
      </c>
      <c r="AC161" s="5">
        <v>15.3</v>
      </c>
      <c r="AD161" s="5">
        <v>0</v>
      </c>
      <c r="AE161" s="5">
        <v>0</v>
      </c>
    </row>
    <row r="162">
      <c r="A162" s="2" t="str">
        <f>HYPERLINK("https://www.avito.ru/tajtsy/uslugi/priem_metalloloma_priem_chernogo_loma_opt_8023889878","8023889878")</f>
      </c>
      <c r="B162" t="s">
        <v>73</v>
      </c>
      <c r="C162" t="s">
        <v>195</v>
      </c>
      <c r="D162" t="s">
        <v>196</v>
      </c>
      <c r="E162" t="s">
        <v>34</v>
      </c>
      <c r="F162" t="s">
        <v>35</v>
      </c>
      <c r="G162" t="s">
        <v>36</v>
      </c>
      <c r="H162" s="3" t="str">
        <f>HYPERLINK("https://www.avito.ru/tajtsy/uslugi/priem_metalloloma_priem_chernogo_loma_opt_8023889878","Прием металлолома / Прием черного лома опт")</f>
      </c>
      <c r="I162" t="s">
        <v>72</v>
      </c>
      <c r="J162" t="s">
        <v>38</v>
      </c>
      <c r="K162" t="s">
        <v>39</v>
      </c>
      <c r="L162">
        <v>4</v>
      </c>
      <c r="M162" t="s">
        <v>40</v>
      </c>
      <c r="N162">
        <v>32</v>
      </c>
      <c r="O162" s="4">
        <v>0.0937</v>
      </c>
      <c r="P162">
        <v>3</v>
      </c>
      <c r="Q162" s="5">
        <v>18.7</v>
      </c>
      <c r="R162" s="4">
        <v>0</v>
      </c>
      <c r="S162">
        <v>3</v>
      </c>
      <c r="T162">
        <v>0</v>
      </c>
      <c r="U162">
        <v>0</v>
      </c>
      <c r="V162">
        <v>0</v>
      </c>
      <c r="W162">
        <v>0</v>
      </c>
      <c r="X162">
        <v>0</v>
      </c>
      <c r="Y162" s="5" t="s">
        <v>40</v>
      </c>
      <c r="Z162">
        <v>0</v>
      </c>
      <c r="AA162" s="5">
        <v>56.1</v>
      </c>
      <c r="AB162" s="5">
        <v>0</v>
      </c>
      <c r="AC162" s="5">
        <v>56.1</v>
      </c>
      <c r="AD162" s="5">
        <v>0</v>
      </c>
      <c r="AE162" s="5">
        <v>0</v>
      </c>
    </row>
    <row r="163">
      <c r="A163" s="2" t="str">
        <f>HYPERLINK("https://www.avito.ru/murino/uslugi/priem_metalloloma_priem_chernogo_loma_8022927405","8022927405")</f>
      </c>
      <c r="B163" t="s">
        <v>73</v>
      </c>
      <c r="C163" t="s">
        <v>208</v>
      </c>
      <c r="D163" t="s">
        <v>209</v>
      </c>
      <c r="E163" t="s">
        <v>34</v>
      </c>
      <c r="F163" t="s">
        <v>35</v>
      </c>
      <c r="G163" t="s">
        <v>36</v>
      </c>
      <c r="H163" s="3" t="str">
        <f>HYPERLINK("https://www.avito.ru/murino/uslugi/priem_metalloloma_priem_chernogo_loma_8022927405","Прием металлолома / Прием черного лома")</f>
      </c>
      <c r="I163" t="s">
        <v>65</v>
      </c>
      <c r="J163" t="s">
        <v>38</v>
      </c>
      <c r="K163" t="s">
        <v>39</v>
      </c>
      <c r="L163">
        <v>4</v>
      </c>
      <c r="M163" t="s">
        <v>40</v>
      </c>
      <c r="N163">
        <v>15</v>
      </c>
      <c r="O163" s="4">
        <v>0.1333</v>
      </c>
      <c r="P163">
        <v>2</v>
      </c>
      <c r="Q163" s="5">
        <v>18.7</v>
      </c>
      <c r="R163" s="4">
        <v>0</v>
      </c>
      <c r="S163">
        <v>2</v>
      </c>
      <c r="T163">
        <v>0</v>
      </c>
      <c r="U163">
        <v>0</v>
      </c>
      <c r="V163">
        <v>0</v>
      </c>
      <c r="W163">
        <v>0</v>
      </c>
      <c r="X163">
        <v>0</v>
      </c>
      <c r="Y163" s="5" t="s">
        <v>40</v>
      </c>
      <c r="Z163">
        <v>0</v>
      </c>
      <c r="AA163" s="5">
        <v>37.4</v>
      </c>
      <c r="AB163" s="5">
        <v>0</v>
      </c>
      <c r="AC163" s="5">
        <v>37.4</v>
      </c>
      <c r="AD163" s="5">
        <v>0</v>
      </c>
      <c r="AE163" s="5">
        <v>0</v>
      </c>
    </row>
    <row r="164">
      <c r="A164" s="2" t="str">
        <f>HYPERLINK("https://www.avito.ru/novodvinsk/uslugi/priem_i_vyvoz_metalloloma_sdat_lom_8022951995","8022951995")</f>
      </c>
      <c r="B164" t="s">
        <v>116</v>
      </c>
      <c r="C164" t="s">
        <v>149</v>
      </c>
      <c r="D164" t="s">
        <v>150</v>
      </c>
      <c r="E164" t="s">
        <v>34</v>
      </c>
      <c r="F164" t="s">
        <v>35</v>
      </c>
      <c r="G164" t="s">
        <v>36</v>
      </c>
      <c r="H164" s="3" t="str">
        <f>HYPERLINK("https://www.avito.ru/novodvinsk/uslugi/priem_i_vyvoz_metalloloma_sdat_lom_8022951995","Прием и вывоз металлолома / Сдать лом")</f>
      </c>
      <c r="I164" t="s">
        <v>78</v>
      </c>
      <c r="J164" t="s">
        <v>38</v>
      </c>
      <c r="K164" t="s">
        <v>39</v>
      </c>
      <c r="L164">
        <v>4</v>
      </c>
      <c r="M164" t="s">
        <v>40</v>
      </c>
      <c r="N164">
        <v>18</v>
      </c>
      <c r="O164" s="4">
        <v>0.1111</v>
      </c>
      <c r="P164">
        <v>2</v>
      </c>
      <c r="Q164" s="5">
        <v>5.1</v>
      </c>
      <c r="R164" s="4">
        <v>0</v>
      </c>
      <c r="S164">
        <v>2</v>
      </c>
      <c r="T164">
        <v>0</v>
      </c>
      <c r="U164">
        <v>0</v>
      </c>
      <c r="V164">
        <v>0</v>
      </c>
      <c r="W164">
        <v>0</v>
      </c>
      <c r="X164">
        <v>0</v>
      </c>
      <c r="Y164" s="5" t="s">
        <v>40</v>
      </c>
      <c r="Z164">
        <v>0</v>
      </c>
      <c r="AA164" s="5">
        <v>10.2</v>
      </c>
      <c r="AB164" s="5">
        <v>0</v>
      </c>
      <c r="AC164" s="5">
        <v>10.2</v>
      </c>
      <c r="AD164" s="5">
        <v>0</v>
      </c>
      <c r="AE164" s="5">
        <v>0</v>
      </c>
    </row>
    <row r="165">
      <c r="A165" s="2" t="str">
        <f>HYPERLINK("https://www.avito.ru/podporozhe/uslugi/priem_metalloloma_vyvoz_metalloloma_8023045520","8023045520")</f>
      </c>
      <c r="B165" t="s">
        <v>73</v>
      </c>
      <c r="C165" t="s">
        <v>134</v>
      </c>
      <c r="D165" t="s">
        <v>134</v>
      </c>
      <c r="E165" t="s">
        <v>34</v>
      </c>
      <c r="F165" t="s">
        <v>35</v>
      </c>
      <c r="G165" t="s">
        <v>36</v>
      </c>
      <c r="H165" s="3" t="str">
        <f>HYPERLINK("https://www.avito.ru/podporozhe/uslugi/priem_metalloloma_vyvoz_metalloloma_8023045520","Прием металлолома/ Вывоз металлолома")</f>
      </c>
      <c r="I165" t="s">
        <v>78</v>
      </c>
      <c r="J165" t="s">
        <v>38</v>
      </c>
      <c r="K165" t="s">
        <v>39</v>
      </c>
      <c r="L165">
        <v>4</v>
      </c>
      <c r="M165" t="s">
        <v>40</v>
      </c>
      <c r="N165">
        <v>11</v>
      </c>
      <c r="O165" s="4">
        <v>0.1818</v>
      </c>
      <c r="P165">
        <v>2</v>
      </c>
      <c r="Q165" s="5">
        <v>18.7</v>
      </c>
      <c r="R165" s="4">
        <v>0</v>
      </c>
      <c r="S165">
        <v>2</v>
      </c>
      <c r="T165">
        <v>0</v>
      </c>
      <c r="U165">
        <v>0</v>
      </c>
      <c r="V165">
        <v>0</v>
      </c>
      <c r="W165">
        <v>0</v>
      </c>
      <c r="X165">
        <v>0</v>
      </c>
      <c r="Y165" s="5" t="s">
        <v>40</v>
      </c>
      <c r="Z165">
        <v>0</v>
      </c>
      <c r="AA165" s="5">
        <v>37.4</v>
      </c>
      <c r="AB165" s="5">
        <v>0</v>
      </c>
      <c r="AC165" s="5">
        <v>37.4</v>
      </c>
      <c r="AD165" s="5">
        <v>0</v>
      </c>
      <c r="AE165" s="5">
        <v>0</v>
      </c>
    </row>
    <row r="166">
      <c r="A166" s="2" t="str">
        <f>HYPERLINK("https://www.avito.ru/vysotsk/uslugi/priem_metalloloma_priem_chernogo_loma_opt_8023049179","8023049179")</f>
      </c>
      <c r="B166" t="s">
        <v>73</v>
      </c>
      <c r="C166" t="s">
        <v>210</v>
      </c>
      <c r="D166" t="s">
        <v>211</v>
      </c>
      <c r="E166" t="s">
        <v>34</v>
      </c>
      <c r="F166" t="s">
        <v>35</v>
      </c>
      <c r="G166" t="s">
        <v>36</v>
      </c>
      <c r="H166" s="3" t="str">
        <f>HYPERLINK("https://www.avito.ru/vysotsk/uslugi/priem_metalloloma_priem_chernogo_loma_opt_8023049179","Прием металлолома / Прием черного лома опт")</f>
      </c>
      <c r="I166" t="s">
        <v>47</v>
      </c>
      <c r="J166" t="s">
        <v>38</v>
      </c>
      <c r="K166" t="s">
        <v>39</v>
      </c>
      <c r="L166">
        <v>4</v>
      </c>
      <c r="M166" t="s">
        <v>40</v>
      </c>
      <c r="N166">
        <v>4</v>
      </c>
      <c r="O166" s="4">
        <v>0.5</v>
      </c>
      <c r="P166">
        <v>2</v>
      </c>
      <c r="Q166" s="5">
        <v>18.7</v>
      </c>
      <c r="R166" s="4">
        <v>0</v>
      </c>
      <c r="S166">
        <v>2</v>
      </c>
      <c r="T166">
        <v>0</v>
      </c>
      <c r="U166">
        <v>0</v>
      </c>
      <c r="V166">
        <v>0</v>
      </c>
      <c r="W166">
        <v>0</v>
      </c>
      <c r="X166">
        <v>0</v>
      </c>
      <c r="Y166" s="5" t="s">
        <v>40</v>
      </c>
      <c r="Z166">
        <v>0</v>
      </c>
      <c r="AA166" s="5">
        <v>37.4</v>
      </c>
      <c r="AB166" s="5">
        <v>0</v>
      </c>
      <c r="AC166" s="5">
        <v>37.4</v>
      </c>
      <c r="AD166" s="5">
        <v>0</v>
      </c>
      <c r="AE166" s="5">
        <v>0</v>
      </c>
    </row>
    <row r="167">
      <c r="A167" s="2" t="str">
        <f>HYPERLINK("https://www.avito.ru/malaya_vishera/uslugi/priem_i_vyvoz_metalloloma_priem_metalla_8023052685","8023052685")</f>
      </c>
      <c r="B167" t="s">
        <v>48</v>
      </c>
      <c r="C167" t="s">
        <v>181</v>
      </c>
      <c r="D167" t="s">
        <v>181</v>
      </c>
      <c r="E167" t="s">
        <v>34</v>
      </c>
      <c r="F167" t="s">
        <v>35</v>
      </c>
      <c r="G167" t="s">
        <v>36</v>
      </c>
      <c r="H167" s="3" t="str">
        <f>HYPERLINK("https://www.avito.ru/malaya_vishera/uslugi/priem_i_vyvoz_metalloloma_priem_metalla_8023052685","Прием и вывоз металлолома / Прием металла")</f>
      </c>
      <c r="I167" t="s">
        <v>78</v>
      </c>
      <c r="J167" t="s">
        <v>38</v>
      </c>
      <c r="K167" t="s">
        <v>39</v>
      </c>
      <c r="L167">
        <v>4</v>
      </c>
      <c r="M167" t="s">
        <v>40</v>
      </c>
      <c r="N167">
        <v>21</v>
      </c>
      <c r="O167" s="4">
        <v>0.0952</v>
      </c>
      <c r="P167">
        <v>2</v>
      </c>
      <c r="Q167" s="5">
        <v>5.1</v>
      </c>
      <c r="R167" s="4">
        <v>0</v>
      </c>
      <c r="S167">
        <v>2</v>
      </c>
      <c r="T167">
        <v>0</v>
      </c>
      <c r="U167">
        <v>0</v>
      </c>
      <c r="V167">
        <v>0</v>
      </c>
      <c r="W167">
        <v>0</v>
      </c>
      <c r="X167">
        <v>0</v>
      </c>
      <c r="Y167" s="5" t="s">
        <v>40</v>
      </c>
      <c r="Z167">
        <v>0</v>
      </c>
      <c r="AA167" s="5">
        <v>10.2</v>
      </c>
      <c r="AB167" s="5">
        <v>0</v>
      </c>
      <c r="AC167" s="5">
        <v>10.2</v>
      </c>
      <c r="AD167" s="5">
        <v>0</v>
      </c>
      <c r="AE167" s="5">
        <v>0</v>
      </c>
    </row>
    <row r="168">
      <c r="A168" s="2" t="str">
        <f>HYPERLINK("https://www.avito.ru/vyborg/uslugi/priem_metalloloma_demontazh_priem_metalla_8023055091","8023055091")</f>
      </c>
      <c r="B168" t="s">
        <v>73</v>
      </c>
      <c r="C168" t="s">
        <v>98</v>
      </c>
      <c r="D168" t="s">
        <v>99</v>
      </c>
      <c r="E168" t="s">
        <v>34</v>
      </c>
      <c r="F168" t="s">
        <v>35</v>
      </c>
      <c r="G168" t="s">
        <v>36</v>
      </c>
      <c r="H168" s="3" t="str">
        <f>HYPERLINK("https://www.avito.ru/vyborg/uslugi/priem_metalloloma_demontazh_priem_metalla_8023055091","Прием металлолома / Демонтаж / Прием металла")</f>
      </c>
      <c r="I168" t="s">
        <v>54</v>
      </c>
      <c r="J168" t="s">
        <v>38</v>
      </c>
      <c r="K168" t="s">
        <v>39</v>
      </c>
      <c r="L168">
        <v>4</v>
      </c>
      <c r="M168" t="s">
        <v>40</v>
      </c>
      <c r="N168">
        <v>15</v>
      </c>
      <c r="O168" s="4">
        <v>0.1333</v>
      </c>
      <c r="P168">
        <v>2</v>
      </c>
      <c r="Q168" s="5">
        <v>18.7</v>
      </c>
      <c r="R168" s="4">
        <v>0.5</v>
      </c>
      <c r="S168">
        <v>2</v>
      </c>
      <c r="T168">
        <v>1</v>
      </c>
      <c r="U168">
        <v>1</v>
      </c>
      <c r="V168">
        <v>0</v>
      </c>
      <c r="W168">
        <v>0</v>
      </c>
      <c r="X168">
        <v>0</v>
      </c>
      <c r="Y168" s="5">
        <v>37.4</v>
      </c>
      <c r="Z168">
        <v>0</v>
      </c>
      <c r="AA168" s="5">
        <v>37.4</v>
      </c>
      <c r="AB168" s="5">
        <v>0</v>
      </c>
      <c r="AC168" s="5">
        <v>37.4</v>
      </c>
      <c r="AD168" s="5">
        <v>0</v>
      </c>
      <c r="AE168" s="5">
        <v>0</v>
      </c>
    </row>
    <row r="169">
      <c r="A169" s="2" t="str">
        <f>HYPERLINK("https://www.avito.ru/leningradskaya_oblast_kommunar/uslugi/priem_metalloloma_priem_chernogo_loma_8023073172","8023073172")</f>
      </c>
      <c r="B169" t="s">
        <v>73</v>
      </c>
      <c r="C169" t="s">
        <v>212</v>
      </c>
      <c r="D169" t="s">
        <v>213</v>
      </c>
      <c r="E169" t="s">
        <v>34</v>
      </c>
      <c r="F169" t="s">
        <v>35</v>
      </c>
      <c r="G169" t="s">
        <v>36</v>
      </c>
      <c r="H169" s="3" t="str">
        <f>HYPERLINK("https://www.avito.ru/leningradskaya_oblast_kommunar/uslugi/priem_metalloloma_priem_chernogo_loma_8023073172","Прием металлолома / Прием черного лома")</f>
      </c>
      <c r="I169" t="s">
        <v>37</v>
      </c>
      <c r="J169" t="s">
        <v>38</v>
      </c>
      <c r="K169" t="s">
        <v>39</v>
      </c>
      <c r="L169">
        <v>4</v>
      </c>
      <c r="M169" t="s">
        <v>40</v>
      </c>
      <c r="N169">
        <v>13</v>
      </c>
      <c r="O169" s="4">
        <v>0.1538</v>
      </c>
      <c r="P169">
        <v>2</v>
      </c>
      <c r="Q169" s="5">
        <v>18.7</v>
      </c>
      <c r="R169" s="4">
        <v>0</v>
      </c>
      <c r="S169">
        <v>2</v>
      </c>
      <c r="T169">
        <v>0</v>
      </c>
      <c r="U169">
        <v>0</v>
      </c>
      <c r="V169">
        <v>0</v>
      </c>
      <c r="W169">
        <v>0</v>
      </c>
      <c r="X169">
        <v>0</v>
      </c>
      <c r="Y169" s="5" t="s">
        <v>40</v>
      </c>
      <c r="Z169">
        <v>0</v>
      </c>
      <c r="AA169" s="5">
        <v>37.4</v>
      </c>
      <c r="AB169" s="5">
        <v>0</v>
      </c>
      <c r="AC169" s="5">
        <v>37.4</v>
      </c>
      <c r="AD169" s="5">
        <v>0</v>
      </c>
      <c r="AE169" s="5">
        <v>0</v>
      </c>
    </row>
    <row r="170">
      <c r="A170" s="2" t="str">
        <f>HYPERLINK("https://www.avito.ru/leningradskaya_oblast_kirovsk/uslugi/priem_tsvetnogo_metalloloma_8023156728","8023156728")</f>
      </c>
      <c r="B170" t="s">
        <v>73</v>
      </c>
      <c r="C170" t="s">
        <v>199</v>
      </c>
      <c r="D170" t="s">
        <v>200</v>
      </c>
      <c r="E170" t="s">
        <v>34</v>
      </c>
      <c r="F170" t="s">
        <v>35</v>
      </c>
      <c r="G170" t="s">
        <v>36</v>
      </c>
      <c r="H170" s="3" t="str">
        <f>HYPERLINK("https://www.avito.ru/leningradskaya_oblast_kirovsk/uslugi/priem_tsvetnogo_metalloloma_8023156728","Прием цветного металлолома")</f>
      </c>
      <c r="I170" t="s">
        <v>54</v>
      </c>
      <c r="J170" t="s">
        <v>38</v>
      </c>
      <c r="K170" t="s">
        <v>39</v>
      </c>
      <c r="L170">
        <v>4</v>
      </c>
      <c r="M170" t="s">
        <v>40</v>
      </c>
      <c r="N170">
        <v>12</v>
      </c>
      <c r="O170" s="4">
        <v>0.1666</v>
      </c>
      <c r="P170">
        <v>2</v>
      </c>
      <c r="Q170" s="5">
        <v>18.7</v>
      </c>
      <c r="R170" s="4">
        <v>0</v>
      </c>
      <c r="S170">
        <v>2</v>
      </c>
      <c r="T170">
        <v>0</v>
      </c>
      <c r="U170">
        <v>0</v>
      </c>
      <c r="V170">
        <v>0</v>
      </c>
      <c r="W170">
        <v>0</v>
      </c>
      <c r="X170">
        <v>0</v>
      </c>
      <c r="Y170" s="5" t="s">
        <v>40</v>
      </c>
      <c r="Z170">
        <v>0</v>
      </c>
      <c r="AA170" s="5">
        <v>37.4</v>
      </c>
      <c r="AB170" s="5">
        <v>0</v>
      </c>
      <c r="AC170" s="5">
        <v>37.4</v>
      </c>
      <c r="AD170" s="5">
        <v>0</v>
      </c>
      <c r="AE170" s="5">
        <v>0</v>
      </c>
    </row>
    <row r="171">
      <c r="A171" s="2" t="str">
        <f>HYPERLINK("https://www.avito.ru/leningradskaya_oblast_nikolskoe/uslugi/priem_metalloloma_demontazh_vyvoz_metalla_8023161596","8023161596")</f>
      </c>
      <c r="B171" t="s">
        <v>73</v>
      </c>
      <c r="C171" t="s">
        <v>214</v>
      </c>
      <c r="D171" t="s">
        <v>214</v>
      </c>
      <c r="E171" t="s">
        <v>34</v>
      </c>
      <c r="F171" t="s">
        <v>35</v>
      </c>
      <c r="G171" t="s">
        <v>36</v>
      </c>
      <c r="H171" s="3" t="str">
        <f>HYPERLINK("https://www.avito.ru/leningradskaya_oblast_nikolskoe/uslugi/priem_metalloloma_demontazh_vyvoz_metalla_8023161596","Прием металлолома / Демонтаж / Вывоз металла")</f>
      </c>
      <c r="I171" t="s">
        <v>78</v>
      </c>
      <c r="J171" t="s">
        <v>38</v>
      </c>
      <c r="K171" t="s">
        <v>39</v>
      </c>
      <c r="L171">
        <v>4</v>
      </c>
      <c r="M171" t="s">
        <v>40</v>
      </c>
      <c r="N171">
        <v>5</v>
      </c>
      <c r="O171" s="4">
        <v>0.4</v>
      </c>
      <c r="P171">
        <v>2</v>
      </c>
      <c r="Q171" s="5">
        <v>18.7</v>
      </c>
      <c r="R171" s="4">
        <v>0</v>
      </c>
      <c r="S171">
        <v>2</v>
      </c>
      <c r="T171">
        <v>0</v>
      </c>
      <c r="U171">
        <v>0</v>
      </c>
      <c r="V171">
        <v>0</v>
      </c>
      <c r="W171">
        <v>0</v>
      </c>
      <c r="X171">
        <v>0</v>
      </c>
      <c r="Y171" s="5" t="s">
        <v>40</v>
      </c>
      <c r="Z171">
        <v>0</v>
      </c>
      <c r="AA171" s="5">
        <v>37.4</v>
      </c>
      <c r="AB171" s="5">
        <v>0</v>
      </c>
      <c r="AC171" s="5">
        <v>37.4</v>
      </c>
      <c r="AD171" s="5">
        <v>0</v>
      </c>
      <c r="AE171" s="5">
        <v>0</v>
      </c>
    </row>
    <row r="172">
      <c r="A172" s="2" t="str">
        <f>HYPERLINK("https://www.avito.ru/sankt-peterburg/uslugi/priem_metalloloma_skupka_metalla_8023261732","8023261732")</f>
      </c>
      <c r="B172" t="s">
        <v>55</v>
      </c>
      <c r="C172" t="s">
        <v>56</v>
      </c>
      <c r="D172" t="s">
        <v>125</v>
      </c>
      <c r="E172" t="s">
        <v>34</v>
      </c>
      <c r="F172" t="s">
        <v>35</v>
      </c>
      <c r="G172" t="s">
        <v>36</v>
      </c>
      <c r="H172" s="3" t="str">
        <f>HYPERLINK("https://www.avito.ru/sankt-peterburg/uslugi/priem_metalloloma_skupka_metalla_8023261732","Прием металлолома / Скупка металла")</f>
      </c>
      <c r="I172" t="s">
        <v>54</v>
      </c>
      <c r="J172" t="s">
        <v>38</v>
      </c>
      <c r="K172" t="s">
        <v>39</v>
      </c>
      <c r="L172">
        <v>4</v>
      </c>
      <c r="M172" t="s">
        <v>40</v>
      </c>
      <c r="N172">
        <v>22</v>
      </c>
      <c r="O172" s="4">
        <v>0.0909</v>
      </c>
      <c r="P172">
        <v>2</v>
      </c>
      <c r="Q172" s="5">
        <v>20.4</v>
      </c>
      <c r="R172" s="4">
        <v>0</v>
      </c>
      <c r="S172">
        <v>2</v>
      </c>
      <c r="T172">
        <v>0</v>
      </c>
      <c r="U172">
        <v>0</v>
      </c>
      <c r="V172">
        <v>0</v>
      </c>
      <c r="W172">
        <v>0</v>
      </c>
      <c r="X172">
        <v>0</v>
      </c>
      <c r="Y172" s="5" t="s">
        <v>40</v>
      </c>
      <c r="Z172">
        <v>0</v>
      </c>
      <c r="AA172" s="5">
        <v>40.8</v>
      </c>
      <c r="AB172" s="5">
        <v>0</v>
      </c>
      <c r="AC172" s="5">
        <v>40.8</v>
      </c>
      <c r="AD172" s="5">
        <v>0</v>
      </c>
      <c r="AE172" s="5">
        <v>0</v>
      </c>
    </row>
    <row r="173">
      <c r="A173" s="2" t="str">
        <f>HYPERLINK("https://www.avito.ru/yanino-1/uslugi/priem_metalloloma_priem_chernogo_loma_8023277035","8023277035")</f>
      </c>
      <c r="B173" t="s">
        <v>73</v>
      </c>
      <c r="C173" t="s">
        <v>215</v>
      </c>
      <c r="D173" t="s">
        <v>216</v>
      </c>
      <c r="E173" t="s">
        <v>34</v>
      </c>
      <c r="F173" t="s">
        <v>35</v>
      </c>
      <c r="G173" t="s">
        <v>36</v>
      </c>
      <c r="H173" s="3" t="str">
        <f>HYPERLINK("https://www.avito.ru/yanino-1/uslugi/priem_metalloloma_priem_chernogo_loma_8023277035","Прием металлолома / Прием черного лома")</f>
      </c>
      <c r="I173" t="s">
        <v>37</v>
      </c>
      <c r="J173" t="s">
        <v>38</v>
      </c>
      <c r="K173" t="s">
        <v>39</v>
      </c>
      <c r="L173">
        <v>4</v>
      </c>
      <c r="M173" t="s">
        <v>40</v>
      </c>
      <c r="N173">
        <v>7</v>
      </c>
      <c r="O173" s="4">
        <v>0.2857</v>
      </c>
      <c r="P173">
        <v>2</v>
      </c>
      <c r="Q173" s="5">
        <v>18.7</v>
      </c>
      <c r="R173" s="4">
        <v>0</v>
      </c>
      <c r="S173">
        <v>2</v>
      </c>
      <c r="T173">
        <v>0</v>
      </c>
      <c r="U173">
        <v>0</v>
      </c>
      <c r="V173">
        <v>0</v>
      </c>
      <c r="W173">
        <v>0</v>
      </c>
      <c r="X173">
        <v>0</v>
      </c>
      <c r="Y173" s="5" t="s">
        <v>40</v>
      </c>
      <c r="Z173">
        <v>0</v>
      </c>
      <c r="AA173" s="5">
        <v>37.4</v>
      </c>
      <c r="AB173" s="5">
        <v>0</v>
      </c>
      <c r="AC173" s="5">
        <v>37.4</v>
      </c>
      <c r="AD173" s="5">
        <v>0</v>
      </c>
      <c r="AE173" s="5">
        <v>0</v>
      </c>
    </row>
    <row r="174">
      <c r="A174" s="2" t="str">
        <f>HYPERLINK("https://www.avito.ru/novaya_ladoga/uslugi/priem_metalloloma_priem_chernogo_loma_opt_8023298585","8023298585")</f>
      </c>
      <c r="B174" t="s">
        <v>73</v>
      </c>
      <c r="C174" t="s">
        <v>197</v>
      </c>
      <c r="D174" t="s">
        <v>198</v>
      </c>
      <c r="E174" t="s">
        <v>34</v>
      </c>
      <c r="F174" t="s">
        <v>35</v>
      </c>
      <c r="G174" t="s">
        <v>36</v>
      </c>
      <c r="H174" s="3" t="str">
        <f>HYPERLINK("https://www.avito.ru/novaya_ladoga/uslugi/priem_metalloloma_priem_chernogo_loma_opt_8023298585","Прием металлолома / Прием черного лома опт")</f>
      </c>
      <c r="I174" t="s">
        <v>54</v>
      </c>
      <c r="J174" t="s">
        <v>38</v>
      </c>
      <c r="K174" t="s">
        <v>39</v>
      </c>
      <c r="L174">
        <v>4</v>
      </c>
      <c r="M174" t="s">
        <v>40</v>
      </c>
      <c r="N174">
        <v>28</v>
      </c>
      <c r="O174" s="4">
        <v>0.0714</v>
      </c>
      <c r="P174">
        <v>2</v>
      </c>
      <c r="Q174" s="5">
        <v>18.7</v>
      </c>
      <c r="R174" s="4">
        <v>0</v>
      </c>
      <c r="S174">
        <v>2</v>
      </c>
      <c r="T174">
        <v>0</v>
      </c>
      <c r="U174">
        <v>0</v>
      </c>
      <c r="V174">
        <v>0</v>
      </c>
      <c r="W174">
        <v>0</v>
      </c>
      <c r="X174">
        <v>0</v>
      </c>
      <c r="Y174" s="5" t="s">
        <v>40</v>
      </c>
      <c r="Z174">
        <v>0</v>
      </c>
      <c r="AA174" s="5">
        <v>37.4</v>
      </c>
      <c r="AB174" s="5">
        <v>0</v>
      </c>
      <c r="AC174" s="5">
        <v>37.4</v>
      </c>
      <c r="AD174" s="5">
        <v>0</v>
      </c>
      <c r="AE174" s="5">
        <v>0</v>
      </c>
    </row>
    <row r="175">
      <c r="A175" s="2" t="str">
        <f>HYPERLINK("https://www.avito.ru/babaevo/uslugi/priem_metalloloma_priem_loma_demontazh_8023321030","8023321030")</f>
      </c>
      <c r="B175" t="s">
        <v>42</v>
      </c>
      <c r="C175" t="s">
        <v>156</v>
      </c>
      <c r="D175" t="s">
        <v>157</v>
      </c>
      <c r="E175" t="s">
        <v>34</v>
      </c>
      <c r="F175" t="s">
        <v>35</v>
      </c>
      <c r="G175" t="s">
        <v>36</v>
      </c>
      <c r="H175" s="3" t="str">
        <f>HYPERLINK("https://www.avito.ru/babaevo/uslugi/priem_metalloloma_priem_loma_demontazh_8023321030","Прием металлолома / Прием лома / Демонтаж")</f>
      </c>
      <c r="I175" t="s">
        <v>85</v>
      </c>
      <c r="J175" t="s">
        <v>152</v>
      </c>
      <c r="K175" t="s">
        <v>153</v>
      </c>
      <c r="L175">
        <v>2</v>
      </c>
      <c r="M175" t="s">
        <v>40</v>
      </c>
      <c r="N175">
        <v>17</v>
      </c>
      <c r="O175" s="4">
        <v>0.1176</v>
      </c>
      <c r="P175">
        <v>2</v>
      </c>
      <c r="Q175" s="5">
        <v>5.1</v>
      </c>
      <c r="R175" s="4">
        <v>0</v>
      </c>
      <c r="S175">
        <v>2</v>
      </c>
      <c r="T175">
        <v>0</v>
      </c>
      <c r="U175">
        <v>0</v>
      </c>
      <c r="V175">
        <v>0</v>
      </c>
      <c r="W175">
        <v>0</v>
      </c>
      <c r="X175">
        <v>0</v>
      </c>
      <c r="Y175" s="5" t="s">
        <v>40</v>
      </c>
      <c r="Z175">
        <v>0</v>
      </c>
      <c r="AA175" s="5">
        <v>10.2</v>
      </c>
      <c r="AB175" s="5">
        <v>0</v>
      </c>
      <c r="AC175" s="5">
        <v>10.2</v>
      </c>
      <c r="AD175" s="5">
        <v>0</v>
      </c>
      <c r="AE175" s="5">
        <v>0</v>
      </c>
    </row>
    <row r="176">
      <c r="A176" s="2" t="str">
        <f>HYPERLINK("https://www.avito.ru/boksitogorsk/uslugi/priem_metalloloma_vyvoz_metalloloma_8023342591","8023342591")</f>
      </c>
      <c r="B176" t="s">
        <v>73</v>
      </c>
      <c r="C176" t="s">
        <v>162</v>
      </c>
      <c r="D176" t="s">
        <v>163</v>
      </c>
      <c r="E176" t="s">
        <v>34</v>
      </c>
      <c r="F176" t="s">
        <v>35</v>
      </c>
      <c r="G176" t="s">
        <v>36</v>
      </c>
      <c r="H176" s="3" t="str">
        <f>HYPERLINK("https://www.avito.ru/boksitogorsk/uslugi/priem_metalloloma_vyvoz_metalloloma_8023342591","Прием металлолома/ Вывоз металлолома")</f>
      </c>
      <c r="I176" t="s">
        <v>95</v>
      </c>
      <c r="J176" t="s">
        <v>38</v>
      </c>
      <c r="K176" t="s">
        <v>39</v>
      </c>
      <c r="L176">
        <v>4</v>
      </c>
      <c r="M176" t="s">
        <v>40</v>
      </c>
      <c r="N176">
        <v>14</v>
      </c>
      <c r="O176" s="4">
        <v>0.1428</v>
      </c>
      <c r="P176">
        <v>2</v>
      </c>
      <c r="Q176" s="5">
        <v>18.7</v>
      </c>
      <c r="R176" s="4">
        <v>0</v>
      </c>
      <c r="S176">
        <v>2</v>
      </c>
      <c r="T176">
        <v>0</v>
      </c>
      <c r="U176">
        <v>0</v>
      </c>
      <c r="V176">
        <v>0</v>
      </c>
      <c r="W176">
        <v>0</v>
      </c>
      <c r="X176">
        <v>0</v>
      </c>
      <c r="Y176" s="5" t="s">
        <v>40</v>
      </c>
      <c r="Z176">
        <v>0</v>
      </c>
      <c r="AA176" s="5">
        <v>37.4</v>
      </c>
      <c r="AB176" s="5">
        <v>0</v>
      </c>
      <c r="AC176" s="5">
        <v>37.4</v>
      </c>
      <c r="AD176" s="5">
        <v>0</v>
      </c>
      <c r="AE176" s="5">
        <v>0</v>
      </c>
    </row>
    <row r="177">
      <c r="A177" s="2" t="str">
        <f>HYPERLINK("https://www.avito.ru/chudovo/uslugi/priem_tsvetnogo_metalloloma_8023395916","8023395916")</f>
      </c>
      <c r="B177" t="s">
        <v>48</v>
      </c>
      <c r="C177" t="s">
        <v>183</v>
      </c>
      <c r="D177" t="s">
        <v>184</v>
      </c>
      <c r="E177" t="s">
        <v>34</v>
      </c>
      <c r="F177" t="s">
        <v>35</v>
      </c>
      <c r="G177" t="s">
        <v>36</v>
      </c>
      <c r="H177" s="3" t="str">
        <f>HYPERLINK("https://www.avito.ru/chudovo/uslugi/priem_tsvetnogo_metalloloma_8023395916","Прием цветного металлолома")</f>
      </c>
      <c r="I177" t="s">
        <v>72</v>
      </c>
      <c r="J177" t="s">
        <v>38</v>
      </c>
      <c r="K177" t="s">
        <v>39</v>
      </c>
      <c r="L177">
        <v>4</v>
      </c>
      <c r="M177" t="s">
        <v>40</v>
      </c>
      <c r="N177">
        <v>16</v>
      </c>
      <c r="O177" s="4">
        <v>0.125</v>
      </c>
      <c r="P177">
        <v>2</v>
      </c>
      <c r="Q177" s="5">
        <v>5.1</v>
      </c>
      <c r="R177" s="4">
        <v>0</v>
      </c>
      <c r="S177">
        <v>2</v>
      </c>
      <c r="T177">
        <v>0</v>
      </c>
      <c r="U177">
        <v>0</v>
      </c>
      <c r="V177">
        <v>0</v>
      </c>
      <c r="W177">
        <v>0</v>
      </c>
      <c r="X177">
        <v>0</v>
      </c>
      <c r="Y177" s="5" t="s">
        <v>40</v>
      </c>
      <c r="Z177">
        <v>0</v>
      </c>
      <c r="AA177" s="5">
        <v>10.2</v>
      </c>
      <c r="AB177" s="5">
        <v>0</v>
      </c>
      <c r="AC177" s="5">
        <v>10.2</v>
      </c>
      <c r="AD177" s="5">
        <v>0</v>
      </c>
      <c r="AE177" s="5">
        <v>0</v>
      </c>
    </row>
    <row r="178">
      <c r="A178" s="2" t="str">
        <f>HYPERLINK("https://www.avito.ru/tajtsy/uslugi/priem_metalloloma_priem_loma_demontazh_8023486102","8023486102")</f>
      </c>
      <c r="B178" t="s">
        <v>73</v>
      </c>
      <c r="C178" t="s">
        <v>195</v>
      </c>
      <c r="D178" t="s">
        <v>196</v>
      </c>
      <c r="E178" t="s">
        <v>34</v>
      </c>
      <c r="F178" t="s">
        <v>35</v>
      </c>
      <c r="G178" t="s">
        <v>36</v>
      </c>
      <c r="H178" s="3" t="str">
        <f>HYPERLINK("https://www.avito.ru/tajtsy/uslugi/priem_metalloloma_priem_loma_demontazh_8023486102","Прием металлолома / Прием лома / Демонтаж")</f>
      </c>
      <c r="I178" t="s">
        <v>95</v>
      </c>
      <c r="J178" t="s">
        <v>38</v>
      </c>
      <c r="K178" t="s">
        <v>39</v>
      </c>
      <c r="L178">
        <v>4</v>
      </c>
      <c r="M178" t="s">
        <v>40</v>
      </c>
      <c r="N178">
        <v>7</v>
      </c>
      <c r="O178" s="4">
        <v>0.2857</v>
      </c>
      <c r="P178">
        <v>2</v>
      </c>
      <c r="Q178" s="5">
        <v>18.7</v>
      </c>
      <c r="R178" s="4">
        <v>0.5</v>
      </c>
      <c r="S178">
        <v>2</v>
      </c>
      <c r="T178">
        <v>1</v>
      </c>
      <c r="U178">
        <v>0</v>
      </c>
      <c r="V178">
        <v>1</v>
      </c>
      <c r="W178">
        <v>0</v>
      </c>
      <c r="X178">
        <v>0</v>
      </c>
      <c r="Y178" s="5">
        <v>37.4</v>
      </c>
      <c r="Z178">
        <v>0</v>
      </c>
      <c r="AA178" s="5">
        <v>37.4</v>
      </c>
      <c r="AB178" s="5">
        <v>0</v>
      </c>
      <c r="AC178" s="5">
        <v>37.4</v>
      </c>
      <c r="AD178" s="5">
        <v>0</v>
      </c>
      <c r="AE178" s="5">
        <v>0</v>
      </c>
    </row>
    <row r="179">
      <c r="A179" s="2" t="str">
        <f>HYPERLINK("https://www.avito.ru/sankt-peterburg/uslugi/priem_metalloloma_priem_loma_demontazh_8023592721","8023592721")</f>
      </c>
      <c r="B179" t="s">
        <v>55</v>
      </c>
      <c r="C179" t="s">
        <v>56</v>
      </c>
      <c r="D179" t="s">
        <v>207</v>
      </c>
      <c r="E179" t="s">
        <v>34</v>
      </c>
      <c r="F179" t="s">
        <v>35</v>
      </c>
      <c r="G179" t="s">
        <v>36</v>
      </c>
      <c r="H179" s="3" t="str">
        <f>HYPERLINK("https://www.avito.ru/sankt-peterburg/uslugi/priem_metalloloma_priem_loma_demontazh_8023592721","Прием металлолома / Прием лома / Демонтаж")</f>
      </c>
      <c r="I179" t="s">
        <v>95</v>
      </c>
      <c r="J179" t="s">
        <v>96</v>
      </c>
      <c r="K179" t="s">
        <v>69</v>
      </c>
      <c r="L179">
        <v>8</v>
      </c>
      <c r="M179" t="s">
        <v>40</v>
      </c>
      <c r="N179">
        <v>14</v>
      </c>
      <c r="O179" s="4">
        <v>0.1428</v>
      </c>
      <c r="P179">
        <v>2</v>
      </c>
      <c r="Q179" s="5">
        <v>20.4</v>
      </c>
      <c r="R179" s="4">
        <v>0.5</v>
      </c>
      <c r="S179">
        <v>2</v>
      </c>
      <c r="T179">
        <v>1</v>
      </c>
      <c r="U179">
        <v>0</v>
      </c>
      <c r="V179">
        <v>1</v>
      </c>
      <c r="W179">
        <v>0</v>
      </c>
      <c r="X179">
        <v>0</v>
      </c>
      <c r="Y179" s="5">
        <v>40.8</v>
      </c>
      <c r="Z179">
        <v>0</v>
      </c>
      <c r="AA179" s="5">
        <v>40.8</v>
      </c>
      <c r="AB179" s="5">
        <v>0</v>
      </c>
      <c r="AC179" s="5">
        <v>40.8</v>
      </c>
      <c r="AD179" s="5">
        <v>0</v>
      </c>
      <c r="AE179" s="5">
        <v>0</v>
      </c>
    </row>
    <row r="180">
      <c r="A180" s="2" t="str">
        <f>HYPERLINK("https://www.avito.ru/leningradskaya_oblast_nikolskoe/uslugi/priem_metalloloma_priem_chernogo_loma_8023616756","8023616756")</f>
      </c>
      <c r="B180" t="s">
        <v>73</v>
      </c>
      <c r="C180" t="s">
        <v>214</v>
      </c>
      <c r="D180" t="s">
        <v>214</v>
      </c>
      <c r="E180" t="s">
        <v>34</v>
      </c>
      <c r="F180" t="s">
        <v>35</v>
      </c>
      <c r="G180" t="s">
        <v>36</v>
      </c>
      <c r="H180" s="3" t="str">
        <f>HYPERLINK("https://www.avito.ru/leningradskaya_oblast_nikolskoe/uslugi/priem_metalloloma_priem_chernogo_loma_8023616756","Прием металлолома / Прием черного лома")</f>
      </c>
      <c r="I180" t="s">
        <v>72</v>
      </c>
      <c r="J180" t="s">
        <v>38</v>
      </c>
      <c r="K180" t="s">
        <v>39</v>
      </c>
      <c r="L180">
        <v>4</v>
      </c>
      <c r="M180" t="s">
        <v>40</v>
      </c>
      <c r="N180">
        <v>7</v>
      </c>
      <c r="O180" s="4">
        <v>0.2857</v>
      </c>
      <c r="P180">
        <v>2</v>
      </c>
      <c r="Q180" s="5">
        <v>18.7</v>
      </c>
      <c r="R180" s="4">
        <v>0</v>
      </c>
      <c r="S180">
        <v>2</v>
      </c>
      <c r="T180">
        <v>0</v>
      </c>
      <c r="U180">
        <v>0</v>
      </c>
      <c r="V180">
        <v>0</v>
      </c>
      <c r="W180">
        <v>0</v>
      </c>
      <c r="X180">
        <v>0</v>
      </c>
      <c r="Y180" s="5" t="s">
        <v>40</v>
      </c>
      <c r="Z180">
        <v>0</v>
      </c>
      <c r="AA180" s="5">
        <v>37.4</v>
      </c>
      <c r="AB180" s="5">
        <v>0</v>
      </c>
      <c r="AC180" s="5">
        <v>37.4</v>
      </c>
      <c r="AD180" s="5">
        <v>0</v>
      </c>
      <c r="AE180" s="5">
        <v>0</v>
      </c>
    </row>
    <row r="181">
      <c r="A181" s="2" t="str">
        <f>HYPERLINK("https://www.avito.ru/leningradskaya_oblast_kommunar/uslugi/priem_i_vyvoz_metalloloma_priem_redkih_metallov_8023664674","8023664674")</f>
      </c>
      <c r="B181" t="s">
        <v>73</v>
      </c>
      <c r="C181" t="s">
        <v>212</v>
      </c>
      <c r="D181" t="s">
        <v>213</v>
      </c>
      <c r="E181" t="s">
        <v>34</v>
      </c>
      <c r="F181" t="s">
        <v>35</v>
      </c>
      <c r="G181" t="s">
        <v>36</v>
      </c>
      <c r="H181" s="3" t="str">
        <f>HYPERLINK("https://www.avito.ru/leningradskaya_oblast_kommunar/uslugi/priem_i_vyvoz_metalloloma_priem_redkih_metallov_8023664674","Прием и вывоз металлолома / Прием редких металлов")</f>
      </c>
      <c r="I181" t="s">
        <v>95</v>
      </c>
      <c r="J181" t="s">
        <v>38</v>
      </c>
      <c r="K181" t="s">
        <v>39</v>
      </c>
      <c r="L181">
        <v>4</v>
      </c>
      <c r="M181" t="s">
        <v>40</v>
      </c>
      <c r="N181">
        <v>9</v>
      </c>
      <c r="O181" s="4">
        <v>0.2222</v>
      </c>
      <c r="P181">
        <v>2</v>
      </c>
      <c r="Q181" s="5">
        <v>18.7</v>
      </c>
      <c r="R181" s="4">
        <v>0.5</v>
      </c>
      <c r="S181">
        <v>2</v>
      </c>
      <c r="T181">
        <v>1</v>
      </c>
      <c r="U181">
        <v>1</v>
      </c>
      <c r="V181">
        <v>0</v>
      </c>
      <c r="W181">
        <v>0</v>
      </c>
      <c r="X181">
        <v>0</v>
      </c>
      <c r="Y181" s="5">
        <v>37.4</v>
      </c>
      <c r="Z181">
        <v>0</v>
      </c>
      <c r="AA181" s="5">
        <v>37.4</v>
      </c>
      <c r="AB181" s="5">
        <v>0</v>
      </c>
      <c r="AC181" s="5">
        <v>37.4</v>
      </c>
      <c r="AD181" s="5">
        <v>0</v>
      </c>
      <c r="AE181" s="5">
        <v>0</v>
      </c>
    </row>
    <row r="182">
      <c r="A182" s="2" t="str">
        <f>HYPERLINK("https://www.avito.ru/kipen/uslugi/priem_tsvetnogo_metalloloma_8023677504","8023677504")</f>
      </c>
      <c r="B182" t="s">
        <v>73</v>
      </c>
      <c r="C182" t="s">
        <v>160</v>
      </c>
      <c r="D182" t="s">
        <v>161</v>
      </c>
      <c r="E182" t="s">
        <v>34</v>
      </c>
      <c r="F182" t="s">
        <v>35</v>
      </c>
      <c r="G182" t="s">
        <v>36</v>
      </c>
      <c r="H182" s="3" t="str">
        <f>HYPERLINK("https://www.avito.ru/kipen/uslugi/priem_tsvetnogo_metalloloma_8023677504","Прием цветного металлолома")</f>
      </c>
      <c r="I182" t="s">
        <v>72</v>
      </c>
      <c r="J182" t="s">
        <v>38</v>
      </c>
      <c r="K182" t="s">
        <v>39</v>
      </c>
      <c r="L182">
        <v>4</v>
      </c>
      <c r="M182" t="s">
        <v>40</v>
      </c>
      <c r="N182">
        <v>7</v>
      </c>
      <c r="O182" s="4">
        <v>0.2857</v>
      </c>
      <c r="P182">
        <v>2</v>
      </c>
      <c r="Q182" s="5">
        <v>18.7</v>
      </c>
      <c r="R182" s="4">
        <v>0</v>
      </c>
      <c r="S182">
        <v>2</v>
      </c>
      <c r="T182">
        <v>0</v>
      </c>
      <c r="U182">
        <v>0</v>
      </c>
      <c r="V182">
        <v>0</v>
      </c>
      <c r="W182">
        <v>0</v>
      </c>
      <c r="X182">
        <v>0</v>
      </c>
      <c r="Y182" s="5" t="s">
        <v>40</v>
      </c>
      <c r="Z182">
        <v>0</v>
      </c>
      <c r="AA182" s="5">
        <v>37.4</v>
      </c>
      <c r="AB182" s="5">
        <v>0</v>
      </c>
      <c r="AC182" s="5">
        <v>37.4</v>
      </c>
      <c r="AD182" s="5">
        <v>0</v>
      </c>
      <c r="AE182" s="5">
        <v>0</v>
      </c>
    </row>
    <row r="183">
      <c r="A183" s="2" t="str">
        <f>HYPERLINK("https://www.avito.ru/sankt-peterburg/uslugi/priem_loma_tsvetnyh_metallov_8023771322","8023771322")</f>
      </c>
      <c r="B183" t="s">
        <v>55</v>
      </c>
      <c r="C183" t="s">
        <v>56</v>
      </c>
      <c r="D183" t="s">
        <v>115</v>
      </c>
      <c r="E183" t="s">
        <v>34</v>
      </c>
      <c r="F183" t="s">
        <v>35</v>
      </c>
      <c r="G183" t="s">
        <v>36</v>
      </c>
      <c r="H183" s="3" t="str">
        <f>HYPERLINK("https://www.avito.ru/sankt-peterburg/uslugi/priem_loma_tsvetnyh_metallov_8023771322","Прием лома цветных металлов")</f>
      </c>
      <c r="I183" t="s">
        <v>72</v>
      </c>
      <c r="J183" t="s">
        <v>38</v>
      </c>
      <c r="K183" t="s">
        <v>39</v>
      </c>
      <c r="L183">
        <v>4</v>
      </c>
      <c r="M183" t="s">
        <v>40</v>
      </c>
      <c r="N183">
        <v>14</v>
      </c>
      <c r="O183" s="4">
        <v>0.1428</v>
      </c>
      <c r="P183">
        <v>2</v>
      </c>
      <c r="Q183" s="5">
        <v>20.4</v>
      </c>
      <c r="R183" s="4">
        <v>0</v>
      </c>
      <c r="S183">
        <v>2</v>
      </c>
      <c r="T183">
        <v>0</v>
      </c>
      <c r="U183">
        <v>0</v>
      </c>
      <c r="V183">
        <v>0</v>
      </c>
      <c r="W183">
        <v>0</v>
      </c>
      <c r="X183">
        <v>0</v>
      </c>
      <c r="Y183" s="5" t="s">
        <v>40</v>
      </c>
      <c r="Z183">
        <v>0</v>
      </c>
      <c r="AA183" s="5">
        <v>40.8</v>
      </c>
      <c r="AB183" s="5">
        <v>0</v>
      </c>
      <c r="AC183" s="5">
        <v>40.8</v>
      </c>
      <c r="AD183" s="5">
        <v>0</v>
      </c>
      <c r="AE183" s="5">
        <v>0</v>
      </c>
    </row>
    <row r="184">
      <c r="A184" s="2" t="str">
        <f>HYPERLINK("https://www.avito.ru/kaduy/uslugi/priem_metalla_sdat_lom_vyvoz_loma_8023813949","8023813949")</f>
      </c>
      <c r="B184" t="s">
        <v>42</v>
      </c>
      <c r="C184" t="s">
        <v>177</v>
      </c>
      <c r="D184" t="s">
        <v>178</v>
      </c>
      <c r="E184" t="s">
        <v>34</v>
      </c>
      <c r="F184" t="s">
        <v>35</v>
      </c>
      <c r="G184" t="s">
        <v>36</v>
      </c>
      <c r="H184" s="3" t="str">
        <f>HYPERLINK("https://www.avito.ru/kaduy/uslugi/priem_metalla_sdat_lom_vyvoz_loma_8023813949","Приём металла /Сдать лом / Вывоз лома")</f>
      </c>
      <c r="I184" t="s">
        <v>78</v>
      </c>
      <c r="J184" t="s">
        <v>38</v>
      </c>
      <c r="K184" t="s">
        <v>39</v>
      </c>
      <c r="L184">
        <v>4</v>
      </c>
      <c r="M184" t="s">
        <v>40</v>
      </c>
      <c r="N184">
        <v>26</v>
      </c>
      <c r="O184" s="4">
        <v>0.0769</v>
      </c>
      <c r="P184">
        <v>2</v>
      </c>
      <c r="Q184" s="5">
        <v>2.55</v>
      </c>
      <c r="R184" s="4">
        <v>0</v>
      </c>
      <c r="S184">
        <v>1</v>
      </c>
      <c r="T184">
        <v>0</v>
      </c>
      <c r="U184">
        <v>0</v>
      </c>
      <c r="V184">
        <v>0</v>
      </c>
      <c r="W184">
        <v>0</v>
      </c>
      <c r="X184">
        <v>0</v>
      </c>
      <c r="Y184" s="5" t="s">
        <v>40</v>
      </c>
      <c r="Z184">
        <v>0</v>
      </c>
      <c r="AA184" s="5">
        <v>5.1</v>
      </c>
      <c r="AB184" s="5">
        <v>0</v>
      </c>
      <c r="AC184" s="5">
        <v>5.1</v>
      </c>
      <c r="AD184" s="5">
        <v>0</v>
      </c>
      <c r="AE184" s="5">
        <v>0</v>
      </c>
    </row>
    <row r="185">
      <c r="A185" s="2" t="str">
        <f>HYPERLINK("https://www.avito.ru/velikiy_ustyug/uslugi/priem_i_vyvoz_metalloloma_sdat_lom_8023831918","8023831918")</f>
      </c>
      <c r="B185" t="s">
        <v>42</v>
      </c>
      <c r="C185" t="s">
        <v>43</v>
      </c>
      <c r="D185" t="s">
        <v>44</v>
      </c>
      <c r="E185" t="s">
        <v>34</v>
      </c>
      <c r="F185" t="s">
        <v>35</v>
      </c>
      <c r="G185" t="s">
        <v>36</v>
      </c>
      <c r="H185" s="3" t="str">
        <f>HYPERLINK("https://www.avito.ru/velikiy_ustyug/uslugi/priem_i_vyvoz_metalloloma_sdat_lom_8023831918","Прием и вывоз металлолома / Сдать лом")</f>
      </c>
      <c r="I185" t="s">
        <v>85</v>
      </c>
      <c r="J185" t="s">
        <v>147</v>
      </c>
      <c r="K185" t="s">
        <v>148</v>
      </c>
      <c r="L185">
        <v>3</v>
      </c>
      <c r="M185" t="s">
        <v>40</v>
      </c>
      <c r="N185">
        <v>29</v>
      </c>
      <c r="O185" s="4">
        <v>0.0689</v>
      </c>
      <c r="P185">
        <v>2</v>
      </c>
      <c r="Q185" s="5">
        <v>5.1</v>
      </c>
      <c r="R185" s="4">
        <v>0</v>
      </c>
      <c r="S185">
        <v>2</v>
      </c>
      <c r="T185">
        <v>0</v>
      </c>
      <c r="U185">
        <v>0</v>
      </c>
      <c r="V185">
        <v>0</v>
      </c>
      <c r="W185">
        <v>0</v>
      </c>
      <c r="X185">
        <v>0</v>
      </c>
      <c r="Y185" s="5" t="s">
        <v>40</v>
      </c>
      <c r="Z185">
        <v>0</v>
      </c>
      <c r="AA185" s="5">
        <v>10.2</v>
      </c>
      <c r="AB185" s="5">
        <v>0</v>
      </c>
      <c r="AC185" s="5">
        <v>10.2</v>
      </c>
      <c r="AD185" s="5">
        <v>0</v>
      </c>
      <c r="AE185" s="5">
        <v>0</v>
      </c>
    </row>
    <row r="186">
      <c r="A186" s="2" t="str">
        <f>HYPERLINK("https://www.avito.ru/sankt-peterburg/uslugi/priem_metalloloma_priem_chernogo_loma_opt_8023869452","8023869452")</f>
      </c>
      <c r="B186" t="s">
        <v>55</v>
      </c>
      <c r="C186" t="s">
        <v>56</v>
      </c>
      <c r="D186" t="s">
        <v>194</v>
      </c>
      <c r="E186" t="s">
        <v>34</v>
      </c>
      <c r="F186" t="s">
        <v>35</v>
      </c>
      <c r="G186" t="s">
        <v>36</v>
      </c>
      <c r="H186" s="3" t="str">
        <f>HYPERLINK("https://www.avito.ru/sankt-peterburg/uslugi/priem_metalloloma_priem_chernogo_loma_opt_8023869452","Прием металлолома / Прием черного лома опт")</f>
      </c>
      <c r="I186" t="s">
        <v>72</v>
      </c>
      <c r="J186" t="s">
        <v>38</v>
      </c>
      <c r="K186" t="s">
        <v>39</v>
      </c>
      <c r="L186">
        <v>4</v>
      </c>
      <c r="M186" t="s">
        <v>40</v>
      </c>
      <c r="N186">
        <v>8</v>
      </c>
      <c r="O186" s="4">
        <v>0.25</v>
      </c>
      <c r="P186">
        <v>2</v>
      </c>
      <c r="Q186" s="5">
        <v>20.4</v>
      </c>
      <c r="R186" s="4">
        <v>0</v>
      </c>
      <c r="S186">
        <v>2</v>
      </c>
      <c r="T186">
        <v>0</v>
      </c>
      <c r="U186">
        <v>0</v>
      </c>
      <c r="V186">
        <v>0</v>
      </c>
      <c r="W186">
        <v>0</v>
      </c>
      <c r="X186">
        <v>0</v>
      </c>
      <c r="Y186" s="5" t="s">
        <v>40</v>
      </c>
      <c r="Z186">
        <v>0</v>
      </c>
      <c r="AA186" s="5">
        <v>40.8</v>
      </c>
      <c r="AB186" s="5">
        <v>0</v>
      </c>
      <c r="AC186" s="5">
        <v>40.8</v>
      </c>
      <c r="AD186" s="5">
        <v>0</v>
      </c>
      <c r="AE186" s="5">
        <v>0</v>
      </c>
    </row>
    <row r="187">
      <c r="A187" s="2" t="str">
        <f>HYPERLINK("https://www.avito.ru/novoe_devyatkino/uslugi/priem_metalloloma_priem_tsvetnogo_loma_8022910335","8022910335")</f>
      </c>
      <c r="B187" t="s">
        <v>73</v>
      </c>
      <c r="C187" t="s">
        <v>217</v>
      </c>
      <c r="D187" t="s">
        <v>218</v>
      </c>
      <c r="E187" t="s">
        <v>34</v>
      </c>
      <c r="F187" t="s">
        <v>35</v>
      </c>
      <c r="G187" t="s">
        <v>36</v>
      </c>
      <c r="H187" s="3" t="str">
        <f>HYPERLINK("https://www.avito.ru/novoe_devyatkino/uslugi/priem_metalloloma_priem_tsvetnogo_loma_8022910335","Прием металлолома / Прием цветного лома")</f>
      </c>
      <c r="I187" t="s">
        <v>54</v>
      </c>
      <c r="J187" t="s">
        <v>38</v>
      </c>
      <c r="K187" t="s">
        <v>39</v>
      </c>
      <c r="L187">
        <v>4</v>
      </c>
      <c r="M187" t="s">
        <v>40</v>
      </c>
      <c r="N187">
        <v>4</v>
      </c>
      <c r="O187" s="4">
        <v>0.25</v>
      </c>
      <c r="P187">
        <v>1</v>
      </c>
      <c r="Q187" s="5">
        <v>18.7</v>
      </c>
      <c r="R187" s="4">
        <v>0</v>
      </c>
      <c r="S187">
        <v>1</v>
      </c>
      <c r="T187">
        <v>0</v>
      </c>
      <c r="U187">
        <v>0</v>
      </c>
      <c r="V187">
        <v>0</v>
      </c>
      <c r="W187">
        <v>0</v>
      </c>
      <c r="X187">
        <v>0</v>
      </c>
      <c r="Y187" s="5" t="s">
        <v>40</v>
      </c>
      <c r="Z187">
        <v>0</v>
      </c>
      <c r="AA187" s="5">
        <v>18.7</v>
      </c>
      <c r="AB187" s="5">
        <v>0</v>
      </c>
      <c r="AC187" s="5">
        <v>18.7</v>
      </c>
      <c r="AD187" s="5">
        <v>0</v>
      </c>
      <c r="AE187" s="5">
        <v>0</v>
      </c>
    </row>
    <row r="188">
      <c r="A188" s="2" t="str">
        <f>HYPERLINK("https://www.avito.ru/krasnaya_dolina/uslugi/priem_metalloloma_priem_chernogo_loma_opt_8022922151","8022922151")</f>
      </c>
      <c r="B188" t="s">
        <v>73</v>
      </c>
      <c r="C188" t="s">
        <v>219</v>
      </c>
      <c r="D188" t="s">
        <v>220</v>
      </c>
      <c r="E188" t="s">
        <v>34</v>
      </c>
      <c r="F188" t="s">
        <v>35</v>
      </c>
      <c r="G188" t="s">
        <v>36</v>
      </c>
      <c r="H188" s="3" t="str">
        <f>HYPERLINK("https://www.avito.ru/krasnaya_dolina/uslugi/priem_metalloloma_priem_chernogo_loma_opt_8022922151","Прием металлолома / Прием черного лома опт")</f>
      </c>
      <c r="I188" t="s">
        <v>72</v>
      </c>
      <c r="J188" t="s">
        <v>38</v>
      </c>
      <c r="K188" t="s">
        <v>39</v>
      </c>
      <c r="L188">
        <v>4</v>
      </c>
      <c r="M188" t="s">
        <v>40</v>
      </c>
      <c r="N188">
        <v>8</v>
      </c>
      <c r="O188" s="4">
        <v>0.125</v>
      </c>
      <c r="P188">
        <v>1</v>
      </c>
      <c r="Q188" s="5">
        <v>18.7</v>
      </c>
      <c r="R188" s="4">
        <v>0</v>
      </c>
      <c r="S188">
        <v>1</v>
      </c>
      <c r="T188">
        <v>0</v>
      </c>
      <c r="U188">
        <v>0</v>
      </c>
      <c r="V188">
        <v>0</v>
      </c>
      <c r="W188">
        <v>0</v>
      </c>
      <c r="X188">
        <v>0</v>
      </c>
      <c r="Y188" s="5" t="s">
        <v>40</v>
      </c>
      <c r="Z188">
        <v>0</v>
      </c>
      <c r="AA188" s="5">
        <v>18.7</v>
      </c>
      <c r="AB188" s="5">
        <v>0</v>
      </c>
      <c r="AC188" s="5">
        <v>18.7</v>
      </c>
      <c r="AD188" s="5">
        <v>0</v>
      </c>
      <c r="AE188" s="5">
        <v>0</v>
      </c>
    </row>
    <row r="189">
      <c r="A189" s="2" t="str">
        <f>HYPERLINK("https://www.avito.ru/leningradskaya_oblast_lebyazhe/uslugi/priem_loma_tsvetnyh_metallov_8022983361","8022983361")</f>
      </c>
      <c r="B189" t="s">
        <v>73</v>
      </c>
      <c r="C189" t="s">
        <v>221</v>
      </c>
      <c r="D189" t="s">
        <v>222</v>
      </c>
      <c r="E189" t="s">
        <v>34</v>
      </c>
      <c r="F189" t="s">
        <v>35</v>
      </c>
      <c r="G189" t="s">
        <v>36</v>
      </c>
      <c r="H189" s="3" t="str">
        <f>HYPERLINK("https://www.avito.ru/leningradskaya_oblast_lebyazhe/uslugi/priem_loma_tsvetnyh_metallov_8022983361","Прием лома цветных металлов")</f>
      </c>
      <c r="I189" t="s">
        <v>54</v>
      </c>
      <c r="J189" t="s">
        <v>38</v>
      </c>
      <c r="K189" t="s">
        <v>39</v>
      </c>
      <c r="L189">
        <v>4</v>
      </c>
      <c r="M189" t="s">
        <v>40</v>
      </c>
      <c r="N189">
        <v>4</v>
      </c>
      <c r="O189" s="4">
        <v>0.25</v>
      </c>
      <c r="P189">
        <v>1</v>
      </c>
      <c r="Q189" s="5">
        <v>18.7</v>
      </c>
      <c r="R189" s="4">
        <v>0</v>
      </c>
      <c r="S189">
        <v>1</v>
      </c>
      <c r="T189">
        <v>0</v>
      </c>
      <c r="U189">
        <v>0</v>
      </c>
      <c r="V189">
        <v>0</v>
      </c>
      <c r="W189">
        <v>0</v>
      </c>
      <c r="X189">
        <v>0</v>
      </c>
      <c r="Y189" s="5" t="s">
        <v>40</v>
      </c>
      <c r="Z189">
        <v>0</v>
      </c>
      <c r="AA189" s="5">
        <v>18.7</v>
      </c>
      <c r="AB189" s="5">
        <v>0</v>
      </c>
      <c r="AC189" s="5">
        <v>18.7</v>
      </c>
      <c r="AD189" s="5">
        <v>0</v>
      </c>
      <c r="AE189" s="5">
        <v>0</v>
      </c>
    </row>
    <row r="190">
      <c r="A190" s="2" t="str">
        <f>HYPERLINK("https://www.avito.ru/syasstroy/uslugi/priem_metalloloma_demontazh_priem_metalla_8023004580","8023004580")</f>
      </c>
      <c r="B190" t="s">
        <v>73</v>
      </c>
      <c r="C190" t="s">
        <v>223</v>
      </c>
      <c r="D190" t="s">
        <v>224</v>
      </c>
      <c r="E190" t="s">
        <v>34</v>
      </c>
      <c r="F190" t="s">
        <v>35</v>
      </c>
      <c r="G190" t="s">
        <v>36</v>
      </c>
      <c r="H190" s="3" t="str">
        <f>HYPERLINK("https://www.avito.ru/syasstroy/uslugi/priem_metalloloma_demontazh_priem_metalla_8023004580","Прием металлолома / Демонтаж / Прием металла")</f>
      </c>
      <c r="I190" t="s">
        <v>85</v>
      </c>
      <c r="J190" t="s">
        <v>38</v>
      </c>
      <c r="K190" t="s">
        <v>39</v>
      </c>
      <c r="L190">
        <v>4</v>
      </c>
      <c r="M190" t="s">
        <v>40</v>
      </c>
      <c r="N190">
        <v>3</v>
      </c>
      <c r="O190" s="4">
        <v>0.3333</v>
      </c>
      <c r="P190">
        <v>1</v>
      </c>
      <c r="Q190" s="5">
        <v>18.7</v>
      </c>
      <c r="R190" s="4">
        <v>0</v>
      </c>
      <c r="S190">
        <v>1</v>
      </c>
      <c r="T190">
        <v>0</v>
      </c>
      <c r="U190">
        <v>0</v>
      </c>
      <c r="V190">
        <v>0</v>
      </c>
      <c r="W190">
        <v>0</v>
      </c>
      <c r="X190">
        <v>0</v>
      </c>
      <c r="Y190" s="5" t="s">
        <v>40</v>
      </c>
      <c r="Z190">
        <v>0</v>
      </c>
      <c r="AA190" s="5">
        <v>18.7</v>
      </c>
      <c r="AB190" s="5">
        <v>0</v>
      </c>
      <c r="AC190" s="5">
        <v>18.7</v>
      </c>
      <c r="AD190" s="5">
        <v>0</v>
      </c>
      <c r="AE190" s="5">
        <v>0</v>
      </c>
    </row>
    <row r="191">
      <c r="A191" s="2" t="str">
        <f>HYPERLINK("https://www.avito.ru/sheksna/uslugi/priem_loma_priem_tsvetnogo_loma_priem_chermeta_8023005429","8023005429")</f>
      </c>
      <c r="B191" t="s">
        <v>42</v>
      </c>
      <c r="C191" t="s">
        <v>106</v>
      </c>
      <c r="D191" t="s">
        <v>107</v>
      </c>
      <c r="E191" t="s">
        <v>34</v>
      </c>
      <c r="F191" t="s">
        <v>35</v>
      </c>
      <c r="G191" t="s">
        <v>36</v>
      </c>
      <c r="H191" s="3" t="str">
        <f>HYPERLINK("https://www.avito.ru/sheksna/uslugi/priem_loma_priem_tsvetnogo_loma_priem_chermeta_8023005429","Прием лома / Прием цветного лома / Прием чермета")</f>
      </c>
      <c r="I191" t="s">
        <v>78</v>
      </c>
      <c r="J191" t="s">
        <v>38</v>
      </c>
      <c r="K191" t="s">
        <v>39</v>
      </c>
      <c r="L191">
        <v>4</v>
      </c>
      <c r="M191" t="s">
        <v>40</v>
      </c>
      <c r="N191">
        <v>30</v>
      </c>
      <c r="O191" s="4">
        <v>0.0333</v>
      </c>
      <c r="P191">
        <v>1</v>
      </c>
      <c r="Q191" s="5">
        <v>5.1</v>
      </c>
      <c r="R191" s="4">
        <v>0</v>
      </c>
      <c r="S191">
        <v>1</v>
      </c>
      <c r="T191">
        <v>0</v>
      </c>
      <c r="U191">
        <v>0</v>
      </c>
      <c r="V191">
        <v>0</v>
      </c>
      <c r="W191">
        <v>0</v>
      </c>
      <c r="X191">
        <v>0</v>
      </c>
      <c r="Y191" s="5" t="s">
        <v>40</v>
      </c>
      <c r="Z191">
        <v>0</v>
      </c>
      <c r="AA191" s="5">
        <v>5.1</v>
      </c>
      <c r="AB191" s="5">
        <v>0</v>
      </c>
      <c r="AC191" s="5">
        <v>5.1</v>
      </c>
      <c r="AD191" s="5">
        <v>0</v>
      </c>
      <c r="AE191" s="5">
        <v>0</v>
      </c>
    </row>
    <row r="192">
      <c r="A192" s="2" t="str">
        <f>HYPERLINK("https://www.avito.ru/volhov/uslugi/priem_i_vyvoz_metalloloma_sdat_lom_8023028862","8023028862")</f>
      </c>
      <c r="B192" t="s">
        <v>73</v>
      </c>
      <c r="C192" t="s">
        <v>140</v>
      </c>
      <c r="D192" t="s">
        <v>141</v>
      </c>
      <c r="E192" t="s">
        <v>34</v>
      </c>
      <c r="F192" t="s">
        <v>35</v>
      </c>
      <c r="G192" t="s">
        <v>36</v>
      </c>
      <c r="H192" s="3" t="str">
        <f>HYPERLINK("https://www.avito.ru/volhov/uslugi/priem_i_vyvoz_metalloloma_sdat_lom_8023028862","Прием и вывоз металлолома / Сдать лом")</f>
      </c>
      <c r="I192" t="s">
        <v>85</v>
      </c>
      <c r="J192" t="s">
        <v>38</v>
      </c>
      <c r="K192" t="s">
        <v>39</v>
      </c>
      <c r="L192">
        <v>4</v>
      </c>
      <c r="M192" t="s">
        <v>40</v>
      </c>
      <c r="N192">
        <v>18</v>
      </c>
      <c r="O192" s="4">
        <v>0.0555</v>
      </c>
      <c r="P192">
        <v>1</v>
      </c>
      <c r="Q192" s="5">
        <v>18.7</v>
      </c>
      <c r="R192" s="4">
        <v>1</v>
      </c>
      <c r="S192">
        <v>1</v>
      </c>
      <c r="T192">
        <v>1</v>
      </c>
      <c r="U192">
        <v>0</v>
      </c>
      <c r="V192">
        <v>1</v>
      </c>
      <c r="W192">
        <v>0</v>
      </c>
      <c r="X192">
        <v>0</v>
      </c>
      <c r="Y192" s="5">
        <v>18.7</v>
      </c>
      <c r="Z192">
        <v>0</v>
      </c>
      <c r="AA192" s="5">
        <v>18.7</v>
      </c>
      <c r="AB192" s="5">
        <v>0</v>
      </c>
      <c r="AC192" s="5">
        <v>18.7</v>
      </c>
      <c r="AD192" s="5">
        <v>0</v>
      </c>
      <c r="AE192" s="5">
        <v>0</v>
      </c>
    </row>
    <row r="193">
      <c r="A193" s="2" t="str">
        <f>HYPERLINK("https://www.avito.ru/tihvin/uslugi/priem_i_vyvoz_metalloloma_priem_metalla_8023033877","8023033877")</f>
      </c>
      <c r="B193" t="s">
        <v>73</v>
      </c>
      <c r="C193" t="s">
        <v>113</v>
      </c>
      <c r="D193" t="s">
        <v>114</v>
      </c>
      <c r="E193" t="s">
        <v>34</v>
      </c>
      <c r="F193" t="s">
        <v>35</v>
      </c>
      <c r="G193" t="s">
        <v>36</v>
      </c>
      <c r="H193" s="3" t="str">
        <f>HYPERLINK("https://www.avito.ru/tihvin/uslugi/priem_i_vyvoz_metalloloma_priem_metalla_8023033877","Прием и вывоз металлолома / Прием металла")</f>
      </c>
      <c r="I193" t="s">
        <v>54</v>
      </c>
      <c r="J193" t="s">
        <v>38</v>
      </c>
      <c r="K193" t="s">
        <v>39</v>
      </c>
      <c r="L193">
        <v>4</v>
      </c>
      <c r="M193" t="s">
        <v>40</v>
      </c>
      <c r="N193">
        <v>19</v>
      </c>
      <c r="O193" s="4">
        <v>0.0526</v>
      </c>
      <c r="P193">
        <v>1</v>
      </c>
      <c r="Q193" s="5">
        <v>18.7</v>
      </c>
      <c r="R193" s="4">
        <v>0</v>
      </c>
      <c r="S193">
        <v>1</v>
      </c>
      <c r="T193">
        <v>0</v>
      </c>
      <c r="U193">
        <v>0</v>
      </c>
      <c r="V193">
        <v>0</v>
      </c>
      <c r="W193">
        <v>0</v>
      </c>
      <c r="X193">
        <v>0</v>
      </c>
      <c r="Y193" s="5" t="s">
        <v>40</v>
      </c>
      <c r="Z193">
        <v>0</v>
      </c>
      <c r="AA193" s="5">
        <v>18.7</v>
      </c>
      <c r="AB193" s="5">
        <v>0</v>
      </c>
      <c r="AC193" s="5">
        <v>18.7</v>
      </c>
      <c r="AD193" s="5">
        <v>0</v>
      </c>
      <c r="AE193" s="5">
        <v>0</v>
      </c>
    </row>
    <row r="194">
      <c r="A194" s="2" t="str">
        <f>HYPERLINK("https://www.avito.ru/slantsy/uslugi/priem_metalloloma_priem_chernogo_loma_8023054555","8023054555")</f>
      </c>
      <c r="B194" t="s">
        <v>73</v>
      </c>
      <c r="C194" t="s">
        <v>104</v>
      </c>
      <c r="D194" t="s">
        <v>105</v>
      </c>
      <c r="E194" t="s">
        <v>34</v>
      </c>
      <c r="F194" t="s">
        <v>35</v>
      </c>
      <c r="G194" t="s">
        <v>36</v>
      </c>
      <c r="H194" s="3" t="str">
        <f>HYPERLINK("https://www.avito.ru/slantsy/uslugi/priem_metalloloma_priem_chernogo_loma_8023054555","Прием металлолома / Прием черного лома")</f>
      </c>
      <c r="I194" t="s">
        <v>41</v>
      </c>
      <c r="J194" t="s">
        <v>38</v>
      </c>
      <c r="K194" t="s">
        <v>39</v>
      </c>
      <c r="L194">
        <v>4</v>
      </c>
      <c r="M194" t="s">
        <v>40</v>
      </c>
      <c r="N194">
        <v>14</v>
      </c>
      <c r="O194" s="4">
        <v>0.0714</v>
      </c>
      <c r="P194">
        <v>1</v>
      </c>
      <c r="Q194" s="5">
        <v>18.7</v>
      </c>
      <c r="R194" s="4">
        <v>0</v>
      </c>
      <c r="S194">
        <v>1</v>
      </c>
      <c r="T194">
        <v>0</v>
      </c>
      <c r="U194">
        <v>0</v>
      </c>
      <c r="V194">
        <v>0</v>
      </c>
      <c r="W194">
        <v>0</v>
      </c>
      <c r="X194">
        <v>0</v>
      </c>
      <c r="Y194" s="5" t="s">
        <v>40</v>
      </c>
      <c r="Z194">
        <v>0</v>
      </c>
      <c r="AA194" s="5">
        <v>18.7</v>
      </c>
      <c r="AB194" s="5">
        <v>0</v>
      </c>
      <c r="AC194" s="5">
        <v>18.7</v>
      </c>
      <c r="AD194" s="5">
        <v>0</v>
      </c>
      <c r="AE194" s="5">
        <v>0</v>
      </c>
    </row>
    <row r="195">
      <c r="A195" s="2" t="str">
        <f>HYPERLINK("https://www.avito.ru/sankt-peterburg/uslugi/priem_i_vyvoz_metalloloma_samovyvoz_loma_8023068585","8023068585")</f>
      </c>
      <c r="B195" t="s">
        <v>55</v>
      </c>
      <c r="C195" t="s">
        <v>56</v>
      </c>
      <c r="D195" t="s">
        <v>88</v>
      </c>
      <c r="E195" t="s">
        <v>34</v>
      </c>
      <c r="F195" t="s">
        <v>35</v>
      </c>
      <c r="G195" t="s">
        <v>36</v>
      </c>
      <c r="H195" s="3" t="str">
        <f>HYPERLINK("https://www.avito.ru/sankt-peterburg/uslugi/priem_i_vyvoz_metalloloma_samovyvoz_loma_8023068585","Прием и вывоз металлолома / Самовывоз лома")</f>
      </c>
      <c r="I195" t="s">
        <v>85</v>
      </c>
      <c r="J195" t="s">
        <v>96</v>
      </c>
      <c r="K195" t="s">
        <v>69</v>
      </c>
      <c r="L195">
        <v>8</v>
      </c>
      <c r="M195" t="s">
        <v>40</v>
      </c>
      <c r="N195">
        <v>18</v>
      </c>
      <c r="O195" s="4">
        <v>0.0555</v>
      </c>
      <c r="P195">
        <v>1</v>
      </c>
      <c r="Q195" s="5">
        <v>20.4</v>
      </c>
      <c r="R195" s="4">
        <v>0</v>
      </c>
      <c r="S195">
        <v>1</v>
      </c>
      <c r="T195">
        <v>0</v>
      </c>
      <c r="U195">
        <v>0</v>
      </c>
      <c r="V195">
        <v>0</v>
      </c>
      <c r="W195">
        <v>0</v>
      </c>
      <c r="X195">
        <v>0</v>
      </c>
      <c r="Y195" s="5" t="s">
        <v>40</v>
      </c>
      <c r="Z195">
        <v>0</v>
      </c>
      <c r="AA195" s="5">
        <v>20.4</v>
      </c>
      <c r="AB195" s="5">
        <v>0</v>
      </c>
      <c r="AC195" s="5">
        <v>20.4</v>
      </c>
      <c r="AD195" s="5">
        <v>0</v>
      </c>
      <c r="AE195" s="5">
        <v>0</v>
      </c>
    </row>
    <row r="196">
      <c r="A196" s="2" t="str">
        <f>HYPERLINK("https://www.avito.ru/kudrovo/uslugi/priem_metalloloma_priem_chernogo_loma_8023070682","8023070682")</f>
      </c>
      <c r="B196" t="s">
        <v>73</v>
      </c>
      <c r="C196" t="s">
        <v>205</v>
      </c>
      <c r="D196" t="s">
        <v>206</v>
      </c>
      <c r="E196" t="s">
        <v>34</v>
      </c>
      <c r="F196" t="s">
        <v>35</v>
      </c>
      <c r="G196" t="s">
        <v>36</v>
      </c>
      <c r="H196" s="3" t="str">
        <f>HYPERLINK("https://www.avito.ru/kudrovo/uslugi/priem_metalloloma_priem_chernogo_loma_8023070682","Прием металлолома / Прием черного лома")</f>
      </c>
      <c r="I196" t="s">
        <v>54</v>
      </c>
      <c r="J196" t="s">
        <v>38</v>
      </c>
      <c r="K196" t="s">
        <v>39</v>
      </c>
      <c r="L196">
        <v>4</v>
      </c>
      <c r="M196" t="s">
        <v>40</v>
      </c>
      <c r="N196">
        <v>6</v>
      </c>
      <c r="O196" s="4">
        <v>0.1666</v>
      </c>
      <c r="P196">
        <v>1</v>
      </c>
      <c r="Q196" s="5">
        <v>18.7</v>
      </c>
      <c r="R196" s="4">
        <v>0</v>
      </c>
      <c r="S196">
        <v>1</v>
      </c>
      <c r="T196">
        <v>0</v>
      </c>
      <c r="U196">
        <v>0</v>
      </c>
      <c r="V196">
        <v>0</v>
      </c>
      <c r="W196">
        <v>0</v>
      </c>
      <c r="X196">
        <v>0</v>
      </c>
      <c r="Y196" s="5" t="s">
        <v>40</v>
      </c>
      <c r="Z196">
        <v>0</v>
      </c>
      <c r="AA196" s="5">
        <v>18.7</v>
      </c>
      <c r="AB196" s="5">
        <v>0</v>
      </c>
      <c r="AC196" s="5">
        <v>18.7</v>
      </c>
      <c r="AD196" s="5">
        <v>0</v>
      </c>
      <c r="AE196" s="5">
        <v>0</v>
      </c>
    </row>
    <row r="197">
      <c r="A197" s="2" t="str">
        <f>HYPERLINK("https://www.avito.ru/podporozhe/uslugi/priem_metalloloma_priem_chernogo_loma_opt_8023075505","8023075505")</f>
      </c>
      <c r="B197" t="s">
        <v>73</v>
      </c>
      <c r="C197" t="s">
        <v>134</v>
      </c>
      <c r="D197" t="s">
        <v>134</v>
      </c>
      <c r="E197" t="s">
        <v>34</v>
      </c>
      <c r="F197" t="s">
        <v>35</v>
      </c>
      <c r="G197" t="s">
        <v>36</v>
      </c>
      <c r="H197" s="3" t="str">
        <f>HYPERLINK("https://www.avito.ru/podporozhe/uslugi/priem_metalloloma_priem_chernogo_loma_opt_8023075505","Прием металлолома / Прием черного лома опт")</f>
      </c>
      <c r="I197" t="s">
        <v>65</v>
      </c>
      <c r="J197" t="s">
        <v>38</v>
      </c>
      <c r="K197" t="s">
        <v>39</v>
      </c>
      <c r="L197">
        <v>4</v>
      </c>
      <c r="M197" t="s">
        <v>40</v>
      </c>
      <c r="N197">
        <v>13</v>
      </c>
      <c r="O197" s="4">
        <v>0.0769</v>
      </c>
      <c r="P197">
        <v>1</v>
      </c>
      <c r="Q197" s="5">
        <v>18.7</v>
      </c>
      <c r="R197" s="4">
        <v>0</v>
      </c>
      <c r="S197">
        <v>1</v>
      </c>
      <c r="T197">
        <v>0</v>
      </c>
      <c r="U197">
        <v>0</v>
      </c>
      <c r="V197">
        <v>0</v>
      </c>
      <c r="W197">
        <v>0</v>
      </c>
      <c r="X197">
        <v>0</v>
      </c>
      <c r="Y197" s="5" t="s">
        <v>40</v>
      </c>
      <c r="Z197">
        <v>0</v>
      </c>
      <c r="AA197" s="5">
        <v>18.7</v>
      </c>
      <c r="AB197" s="5">
        <v>0</v>
      </c>
      <c r="AC197" s="5">
        <v>18.7</v>
      </c>
      <c r="AD197" s="5">
        <v>0</v>
      </c>
      <c r="AE197" s="5">
        <v>0</v>
      </c>
    </row>
    <row r="198">
      <c r="A198" s="2" t="str">
        <f>HYPERLINK("https://www.avito.ru/sankt-peterburg/uslugi/priem_metalla_demontazh_priem_metalloloma_8023197803","8023197803")</f>
      </c>
      <c r="B198" t="s">
        <v>55</v>
      </c>
      <c r="C198" t="s">
        <v>56</v>
      </c>
      <c r="D198" t="s">
        <v>110</v>
      </c>
      <c r="E198" t="s">
        <v>34</v>
      </c>
      <c r="F198" t="s">
        <v>35</v>
      </c>
      <c r="G198" t="s">
        <v>36</v>
      </c>
      <c r="H198" s="3" t="str">
        <f>HYPERLINK("https://www.avito.ru/sankt-peterburg/uslugi/priem_metalla_demontazh_priem_metalloloma_8023197803","Прием металла / Демонтаж / Прием металлолома")</f>
      </c>
      <c r="I198" t="s">
        <v>95</v>
      </c>
      <c r="J198" t="s">
        <v>96</v>
      </c>
      <c r="K198" t="s">
        <v>69</v>
      </c>
      <c r="L198">
        <v>8</v>
      </c>
      <c r="M198" t="s">
        <v>40</v>
      </c>
      <c r="N198">
        <v>16</v>
      </c>
      <c r="O198" s="4">
        <v>0.0625</v>
      </c>
      <c r="P198">
        <v>1</v>
      </c>
      <c r="Q198" s="5">
        <v>20.4</v>
      </c>
      <c r="R198" s="4">
        <v>0</v>
      </c>
      <c r="S198">
        <v>1</v>
      </c>
      <c r="T198">
        <v>0</v>
      </c>
      <c r="U198">
        <v>0</v>
      </c>
      <c r="V198">
        <v>0</v>
      </c>
      <c r="W198">
        <v>0</v>
      </c>
      <c r="X198">
        <v>0</v>
      </c>
      <c r="Y198" s="5" t="s">
        <v>40</v>
      </c>
      <c r="Z198">
        <v>0</v>
      </c>
      <c r="AA198" s="5">
        <v>20.4</v>
      </c>
      <c r="AB198" s="5">
        <v>0</v>
      </c>
      <c r="AC198" s="5">
        <v>20.4</v>
      </c>
      <c r="AD198" s="5">
        <v>0</v>
      </c>
      <c r="AE198" s="5">
        <v>0</v>
      </c>
    </row>
    <row r="199">
      <c r="A199" s="2" t="str">
        <f>HYPERLINK("https://www.avito.ru/sankt-peterburg/uslugi/priem_metalloloma_demontazh_priem_metalla_8023210350","8023210350")</f>
      </c>
      <c r="B199" t="s">
        <v>55</v>
      </c>
      <c r="C199" t="s">
        <v>56</v>
      </c>
      <c r="D199" t="s">
        <v>57</v>
      </c>
      <c r="E199" t="s">
        <v>34</v>
      </c>
      <c r="F199" t="s">
        <v>35</v>
      </c>
      <c r="G199" t="s">
        <v>36</v>
      </c>
      <c r="H199" s="3" t="str">
        <f>HYPERLINK("https://www.avito.ru/sankt-peterburg/uslugi/priem_metalloloma_demontazh_priem_metalla_8023210350","Прием металлолома / Демонтаж / Прием металла")</f>
      </c>
      <c r="I199" t="s">
        <v>85</v>
      </c>
      <c r="J199" t="s">
        <v>96</v>
      </c>
      <c r="K199" t="s">
        <v>69</v>
      </c>
      <c r="L199">
        <v>8</v>
      </c>
      <c r="M199" t="s">
        <v>40</v>
      </c>
      <c r="N199">
        <v>20</v>
      </c>
      <c r="O199" s="4">
        <v>0.05</v>
      </c>
      <c r="P199">
        <v>1</v>
      </c>
      <c r="Q199" s="5">
        <v>20.4</v>
      </c>
      <c r="R199" s="4">
        <v>0</v>
      </c>
      <c r="S199">
        <v>1</v>
      </c>
      <c r="T199">
        <v>0</v>
      </c>
      <c r="U199">
        <v>0</v>
      </c>
      <c r="V199">
        <v>0</v>
      </c>
      <c r="W199">
        <v>0</v>
      </c>
      <c r="X199">
        <v>0</v>
      </c>
      <c r="Y199" s="5" t="s">
        <v>40</v>
      </c>
      <c r="Z199">
        <v>1</v>
      </c>
      <c r="AA199" s="5">
        <v>20.4</v>
      </c>
      <c r="AB199" s="5">
        <v>0</v>
      </c>
      <c r="AC199" s="5">
        <v>20.4</v>
      </c>
      <c r="AD199" s="5">
        <v>0</v>
      </c>
      <c r="AE199" s="5">
        <v>0</v>
      </c>
    </row>
    <row r="200">
      <c r="A200" s="2" t="str">
        <f>HYPERLINK("https://www.avito.ru/nevel/uslugi/priem_metalloloma_priem_chernogo_loma_8023228703","8023228703")</f>
      </c>
      <c r="B200" t="s">
        <v>31</v>
      </c>
      <c r="C200" t="s">
        <v>135</v>
      </c>
      <c r="D200" t="s">
        <v>136</v>
      </c>
      <c r="E200" t="s">
        <v>34</v>
      </c>
      <c r="F200" t="s">
        <v>35</v>
      </c>
      <c r="G200" t="s">
        <v>36</v>
      </c>
      <c r="H200" s="3" t="str">
        <f>HYPERLINK("https://www.avito.ru/nevel/uslugi/priem_metalloloma_priem_chernogo_loma_8023228703","Прием металлолома / Прием черного лома")</f>
      </c>
      <c r="I200" t="s">
        <v>72</v>
      </c>
      <c r="J200" t="s">
        <v>38</v>
      </c>
      <c r="K200" t="s">
        <v>39</v>
      </c>
      <c r="L200">
        <v>4</v>
      </c>
      <c r="M200" t="s">
        <v>40</v>
      </c>
      <c r="N200">
        <v>23</v>
      </c>
      <c r="O200" s="4">
        <v>0.0434</v>
      </c>
      <c r="P200">
        <v>1</v>
      </c>
      <c r="Q200" s="5">
        <v>5.1</v>
      </c>
      <c r="R200" s="4">
        <v>0</v>
      </c>
      <c r="S200">
        <v>1</v>
      </c>
      <c r="T200">
        <v>0</v>
      </c>
      <c r="U200">
        <v>0</v>
      </c>
      <c r="V200">
        <v>0</v>
      </c>
      <c r="W200">
        <v>0</v>
      </c>
      <c r="X200">
        <v>0</v>
      </c>
      <c r="Y200" s="5" t="s">
        <v>40</v>
      </c>
      <c r="Z200">
        <v>0</v>
      </c>
      <c r="AA200" s="5">
        <v>5.1</v>
      </c>
      <c r="AB200" s="5">
        <v>0</v>
      </c>
      <c r="AC200" s="5">
        <v>5.1</v>
      </c>
      <c r="AD200" s="5">
        <v>0</v>
      </c>
      <c r="AE200" s="5">
        <v>0</v>
      </c>
    </row>
    <row r="201">
      <c r="A201" s="2" t="str">
        <f>HYPERLINK("https://www.avito.ru/shlisselburg/uslugi/priem_metalloloma_priem_chernogo_loma_opt_8023234309","8023234309")</f>
      </c>
      <c r="B201" t="s">
        <v>73</v>
      </c>
      <c r="C201" t="s">
        <v>225</v>
      </c>
      <c r="D201" t="s">
        <v>226</v>
      </c>
      <c r="E201" t="s">
        <v>34</v>
      </c>
      <c r="F201" t="s">
        <v>35</v>
      </c>
      <c r="G201" t="s">
        <v>36</v>
      </c>
      <c r="H201" s="3" t="str">
        <f>HYPERLINK("https://www.avito.ru/shlisselburg/uslugi/priem_metalloloma_priem_chernogo_loma_opt_8023234309","Прием металлолома / Прием черного лома опт")</f>
      </c>
      <c r="I201" t="s">
        <v>41</v>
      </c>
      <c r="J201" t="s">
        <v>38</v>
      </c>
      <c r="K201" t="s">
        <v>39</v>
      </c>
      <c r="L201">
        <v>4</v>
      </c>
      <c r="M201" t="s">
        <v>40</v>
      </c>
      <c r="N201">
        <v>3</v>
      </c>
      <c r="O201" s="4">
        <v>0.3333</v>
      </c>
      <c r="P201">
        <v>1</v>
      </c>
      <c r="Q201" s="5">
        <v>18.7</v>
      </c>
      <c r="R201" s="4">
        <v>0</v>
      </c>
      <c r="S201">
        <v>1</v>
      </c>
      <c r="T201">
        <v>0</v>
      </c>
      <c r="U201">
        <v>0</v>
      </c>
      <c r="V201">
        <v>0</v>
      </c>
      <c r="W201">
        <v>0</v>
      </c>
      <c r="X201">
        <v>0</v>
      </c>
      <c r="Y201" s="5" t="s">
        <v>40</v>
      </c>
      <c r="Z201">
        <v>0</v>
      </c>
      <c r="AA201" s="5">
        <v>18.7</v>
      </c>
      <c r="AB201" s="5">
        <v>0</v>
      </c>
      <c r="AC201" s="5">
        <v>18.7</v>
      </c>
      <c r="AD201" s="5">
        <v>0</v>
      </c>
      <c r="AE201" s="5">
        <v>0</v>
      </c>
    </row>
    <row r="202">
      <c r="A202" s="2" t="str">
        <f>HYPERLINK("https://www.avito.ru/sankt-peterburg/uslugi/priem_metalloloma_demontazh_vyvoz_metalla_8023240596","8023240596")</f>
      </c>
      <c r="B202" t="s">
        <v>55</v>
      </c>
      <c r="C202" t="s">
        <v>56</v>
      </c>
      <c r="D202" t="s">
        <v>227</v>
      </c>
      <c r="E202" t="s">
        <v>34</v>
      </c>
      <c r="F202" t="s">
        <v>35</v>
      </c>
      <c r="G202" t="s">
        <v>36</v>
      </c>
      <c r="H202" s="3" t="str">
        <f>HYPERLINK("https://www.avito.ru/sankt-peterburg/uslugi/priem_metalloloma_demontazh_vyvoz_metalla_8023240596","Прием металлолома / Демонтаж / Вывоз металла")</f>
      </c>
      <c r="I202" t="s">
        <v>85</v>
      </c>
      <c r="J202" t="s">
        <v>186</v>
      </c>
      <c r="K202" t="s">
        <v>187</v>
      </c>
      <c r="L202">
        <v>6</v>
      </c>
      <c r="M202" t="s">
        <v>40</v>
      </c>
      <c r="N202">
        <v>64</v>
      </c>
      <c r="O202" s="4">
        <v>0.0156</v>
      </c>
      <c r="P202">
        <v>1</v>
      </c>
      <c r="Q202" s="5">
        <v>20.4</v>
      </c>
      <c r="R202" s="4">
        <v>0</v>
      </c>
      <c r="S202">
        <v>1</v>
      </c>
      <c r="T202">
        <v>0</v>
      </c>
      <c r="U202">
        <v>0</v>
      </c>
      <c r="V202">
        <v>0</v>
      </c>
      <c r="W202">
        <v>0</v>
      </c>
      <c r="X202">
        <v>0</v>
      </c>
      <c r="Y202" s="5" t="s">
        <v>40</v>
      </c>
      <c r="Z202">
        <v>0</v>
      </c>
      <c r="AA202" s="5">
        <v>20.4</v>
      </c>
      <c r="AB202" s="5">
        <v>0</v>
      </c>
      <c r="AC202" s="5">
        <v>20.4</v>
      </c>
      <c r="AD202" s="5">
        <v>0</v>
      </c>
      <c r="AE202" s="5">
        <v>0</v>
      </c>
    </row>
    <row r="203">
      <c r="A203" s="2" t="str">
        <f>HYPERLINK("https://www.avito.ru/kingisepp/uslugi/priem_metalloloma_priem_chernogo_loma_8023301062","8023301062")</f>
      </c>
      <c r="B203" t="s">
        <v>73</v>
      </c>
      <c r="C203" t="s">
        <v>201</v>
      </c>
      <c r="D203" t="s">
        <v>202</v>
      </c>
      <c r="E203" t="s">
        <v>34</v>
      </c>
      <c r="F203" t="s">
        <v>35</v>
      </c>
      <c r="G203" t="s">
        <v>36</v>
      </c>
      <c r="H203" s="3" t="str">
        <f>HYPERLINK("https://www.avito.ru/kingisepp/uslugi/priem_metalloloma_priem_chernogo_loma_8023301062","Прием металлолома / Прием черного лома")</f>
      </c>
      <c r="I203" t="s">
        <v>72</v>
      </c>
      <c r="J203" t="s">
        <v>38</v>
      </c>
      <c r="K203" t="s">
        <v>39</v>
      </c>
      <c r="L203">
        <v>4</v>
      </c>
      <c r="M203" t="s">
        <v>40</v>
      </c>
      <c r="N203">
        <v>19</v>
      </c>
      <c r="O203" s="4">
        <v>0.0526</v>
      </c>
      <c r="P203">
        <v>1</v>
      </c>
      <c r="Q203" s="5">
        <v>18.7</v>
      </c>
      <c r="R203" s="4">
        <v>0</v>
      </c>
      <c r="S203">
        <v>1</v>
      </c>
      <c r="T203">
        <v>0</v>
      </c>
      <c r="U203">
        <v>0</v>
      </c>
      <c r="V203">
        <v>0</v>
      </c>
      <c r="W203">
        <v>0</v>
      </c>
      <c r="X203">
        <v>0</v>
      </c>
      <c r="Y203" s="5" t="s">
        <v>40</v>
      </c>
      <c r="Z203">
        <v>1</v>
      </c>
      <c r="AA203" s="5">
        <v>18.7</v>
      </c>
      <c r="AB203" s="5">
        <v>0</v>
      </c>
      <c r="AC203" s="5">
        <v>18.7</v>
      </c>
      <c r="AD203" s="5">
        <v>0</v>
      </c>
      <c r="AE203" s="5">
        <v>0</v>
      </c>
    </row>
    <row r="204">
      <c r="A204" s="2" t="str">
        <f>HYPERLINK("https://www.avito.ru/leningradskaya_oblast_lebyazhe/uslugi/priem_metalla_demontazh_priem_metalloloma_8023332563","8023332563")</f>
      </c>
      <c r="B204" t="s">
        <v>73</v>
      </c>
      <c r="C204" t="s">
        <v>221</v>
      </c>
      <c r="D204" t="s">
        <v>222</v>
      </c>
      <c r="E204" t="s">
        <v>34</v>
      </c>
      <c r="F204" t="s">
        <v>35</v>
      </c>
      <c r="G204" t="s">
        <v>36</v>
      </c>
      <c r="H204" s="3" t="str">
        <f>HYPERLINK("https://www.avito.ru/leningradskaya_oblast_lebyazhe/uslugi/priem_metalla_demontazh_priem_metalloloma_8023332563","Прием металла / Демонтаж / Прием металлолома")</f>
      </c>
      <c r="I204" t="s">
        <v>85</v>
      </c>
      <c r="J204" t="s">
        <v>38</v>
      </c>
      <c r="K204" t="s">
        <v>39</v>
      </c>
      <c r="L204">
        <v>4</v>
      </c>
      <c r="M204" t="s">
        <v>40</v>
      </c>
      <c r="N204">
        <v>6</v>
      </c>
      <c r="O204" s="4">
        <v>0.1666</v>
      </c>
      <c r="P204">
        <v>1</v>
      </c>
      <c r="Q204" s="5">
        <v>18.7</v>
      </c>
      <c r="R204" s="4">
        <v>0</v>
      </c>
      <c r="S204">
        <v>1</v>
      </c>
      <c r="T204">
        <v>0</v>
      </c>
      <c r="U204">
        <v>0</v>
      </c>
      <c r="V204">
        <v>0</v>
      </c>
      <c r="W204">
        <v>0</v>
      </c>
      <c r="X204">
        <v>0</v>
      </c>
      <c r="Y204" s="5" t="s">
        <v>40</v>
      </c>
      <c r="Z204">
        <v>0</v>
      </c>
      <c r="AA204" s="5">
        <v>18.7</v>
      </c>
      <c r="AB204" s="5">
        <v>0</v>
      </c>
      <c r="AC204" s="5">
        <v>18.7</v>
      </c>
      <c r="AD204" s="5">
        <v>0</v>
      </c>
      <c r="AE204" s="5">
        <v>0</v>
      </c>
    </row>
    <row r="205">
      <c r="A205" s="2" t="str">
        <f>HYPERLINK("https://www.avito.ru/staraya/uslugi/priem_metalloloma_vyvoz_metalloloma_8023354444","8023354444")</f>
      </c>
      <c r="B205" t="s">
        <v>73</v>
      </c>
      <c r="C205" t="s">
        <v>228</v>
      </c>
      <c r="D205" t="s">
        <v>229</v>
      </c>
      <c r="E205" t="s">
        <v>34</v>
      </c>
      <c r="F205" t="s">
        <v>35</v>
      </c>
      <c r="G205" t="s">
        <v>36</v>
      </c>
      <c r="H205" s="3" t="str">
        <f>HYPERLINK("https://www.avito.ru/staraya/uslugi/priem_metalloloma_vyvoz_metalloloma_8023354444","Прием металлолома/ Вывоз металлолома")</f>
      </c>
      <c r="I205" t="s">
        <v>85</v>
      </c>
      <c r="J205" t="s">
        <v>38</v>
      </c>
      <c r="K205" t="s">
        <v>39</v>
      </c>
      <c r="L205">
        <v>4</v>
      </c>
      <c r="M205" t="s">
        <v>40</v>
      </c>
      <c r="N205">
        <v>7</v>
      </c>
      <c r="O205" s="4">
        <v>0.1428</v>
      </c>
      <c r="P205">
        <v>1</v>
      </c>
      <c r="Q205" s="5">
        <v>18.7</v>
      </c>
      <c r="R205" s="4">
        <v>0</v>
      </c>
      <c r="S205">
        <v>1</v>
      </c>
      <c r="T205">
        <v>0</v>
      </c>
      <c r="U205">
        <v>0</v>
      </c>
      <c r="V205">
        <v>0</v>
      </c>
      <c r="W205">
        <v>0</v>
      </c>
      <c r="X205">
        <v>0</v>
      </c>
      <c r="Y205" s="5" t="s">
        <v>40</v>
      </c>
      <c r="Z205">
        <v>0</v>
      </c>
      <c r="AA205" s="5">
        <v>18.7</v>
      </c>
      <c r="AB205" s="5">
        <v>0</v>
      </c>
      <c r="AC205" s="5">
        <v>18.7</v>
      </c>
      <c r="AD205" s="5">
        <v>0</v>
      </c>
      <c r="AE205" s="5">
        <v>0</v>
      </c>
    </row>
    <row r="206">
      <c r="A206" s="2" t="str">
        <f>HYPERLINK("https://www.avito.ru/gatchina/uslugi/priem_i_vyvoz_metalloloma_priem_metalla_8023409783","8023409783")</f>
      </c>
      <c r="B206" t="s">
        <v>73</v>
      </c>
      <c r="C206" t="s">
        <v>132</v>
      </c>
      <c r="D206" t="s">
        <v>133</v>
      </c>
      <c r="E206" t="s">
        <v>34</v>
      </c>
      <c r="F206" t="s">
        <v>35</v>
      </c>
      <c r="G206" t="s">
        <v>36</v>
      </c>
      <c r="H206" s="3" t="str">
        <f>HYPERLINK("https://www.avito.ru/gatchina/uslugi/priem_i_vyvoz_metalloloma_priem_metalla_8023409783","Прием и вывоз металлолома / Прием металла")</f>
      </c>
      <c r="I206" t="s">
        <v>78</v>
      </c>
      <c r="J206" t="s">
        <v>38</v>
      </c>
      <c r="K206" t="s">
        <v>39</v>
      </c>
      <c r="L206">
        <v>4</v>
      </c>
      <c r="M206" t="s">
        <v>40</v>
      </c>
      <c r="N206">
        <v>9</v>
      </c>
      <c r="O206" s="4">
        <v>0.1111</v>
      </c>
      <c r="P206">
        <v>1</v>
      </c>
      <c r="Q206" s="5">
        <v>18.7</v>
      </c>
      <c r="R206" s="4">
        <v>0</v>
      </c>
      <c r="S206">
        <v>1</v>
      </c>
      <c r="T206">
        <v>0</v>
      </c>
      <c r="U206">
        <v>0</v>
      </c>
      <c r="V206">
        <v>0</v>
      </c>
      <c r="W206">
        <v>0</v>
      </c>
      <c r="X206">
        <v>0</v>
      </c>
      <c r="Y206" s="5" t="s">
        <v>40</v>
      </c>
      <c r="Z206">
        <v>0</v>
      </c>
      <c r="AA206" s="5">
        <v>18.7</v>
      </c>
      <c r="AB206" s="5">
        <v>0</v>
      </c>
      <c r="AC206" s="5">
        <v>18.7</v>
      </c>
      <c r="AD206" s="5">
        <v>0</v>
      </c>
      <c r="AE206" s="5">
        <v>0</v>
      </c>
    </row>
    <row r="207">
      <c r="A207" s="2" t="str">
        <f>HYPERLINK("https://www.avito.ru/sankt-peterburg/uslugi/priem_i_vyvoz_metalloloma_priem_redkih_metallov_8023414338","8023414338")</f>
      </c>
      <c r="B207" t="s">
        <v>55</v>
      </c>
      <c r="C207" t="s">
        <v>56</v>
      </c>
      <c r="D207" t="s">
        <v>139</v>
      </c>
      <c r="E207" t="s">
        <v>34</v>
      </c>
      <c r="F207" t="s">
        <v>35</v>
      </c>
      <c r="G207" t="s">
        <v>36</v>
      </c>
      <c r="H207" s="3" t="str">
        <f>HYPERLINK("https://www.avito.ru/sankt-peterburg/uslugi/priem_i_vyvoz_metalloloma_priem_redkih_metallov_8023414338","Прием и вывоз металлолома / Прием редких металлов")</f>
      </c>
      <c r="I207" t="s">
        <v>95</v>
      </c>
      <c r="J207" t="s">
        <v>96</v>
      </c>
      <c r="K207" t="s">
        <v>69</v>
      </c>
      <c r="L207">
        <v>8</v>
      </c>
      <c r="M207" t="s">
        <v>40</v>
      </c>
      <c r="N207">
        <v>13</v>
      </c>
      <c r="O207" s="4">
        <v>0.0769</v>
      </c>
      <c r="P207">
        <v>1</v>
      </c>
      <c r="Q207" s="5">
        <v>20.4</v>
      </c>
      <c r="R207" s="4">
        <v>0</v>
      </c>
      <c r="S207">
        <v>1</v>
      </c>
      <c r="T207">
        <v>0</v>
      </c>
      <c r="U207">
        <v>0</v>
      </c>
      <c r="V207">
        <v>0</v>
      </c>
      <c r="W207">
        <v>0</v>
      </c>
      <c r="X207">
        <v>0</v>
      </c>
      <c r="Y207" s="5" t="s">
        <v>40</v>
      </c>
      <c r="Z207">
        <v>0</v>
      </c>
      <c r="AA207" s="5">
        <v>20.4</v>
      </c>
      <c r="AB207" s="5">
        <v>0</v>
      </c>
      <c r="AC207" s="5">
        <v>20.4</v>
      </c>
      <c r="AD207" s="5">
        <v>0</v>
      </c>
      <c r="AE207" s="5">
        <v>0</v>
      </c>
    </row>
    <row r="208">
      <c r="A208" s="2" t="str">
        <f>HYPERLINK("https://www.avito.ru/leningradskaya_oblast_nikolskoe/uslugi/priem_loma_tsvetnyh_metallov_8023459410","8023459410")</f>
      </c>
      <c r="B208" t="s">
        <v>73</v>
      </c>
      <c r="C208" t="s">
        <v>214</v>
      </c>
      <c r="D208" t="s">
        <v>214</v>
      </c>
      <c r="E208" t="s">
        <v>34</v>
      </c>
      <c r="F208" t="s">
        <v>35</v>
      </c>
      <c r="G208" t="s">
        <v>36</v>
      </c>
      <c r="H208" s="3" t="str">
        <f>HYPERLINK("https://www.avito.ru/leningradskaya_oblast_nikolskoe/uslugi/priem_loma_tsvetnyh_metallov_8023459410","Прием лома цветных металлов")</f>
      </c>
      <c r="I208" t="s">
        <v>65</v>
      </c>
      <c r="J208" t="s">
        <v>38</v>
      </c>
      <c r="K208" t="s">
        <v>39</v>
      </c>
      <c r="L208">
        <v>4</v>
      </c>
      <c r="M208" t="s">
        <v>40</v>
      </c>
      <c r="N208">
        <v>12</v>
      </c>
      <c r="O208" s="4">
        <v>0.0833</v>
      </c>
      <c r="P208">
        <v>1</v>
      </c>
      <c r="Q208" s="5">
        <v>18.7</v>
      </c>
      <c r="R208" s="4">
        <v>0</v>
      </c>
      <c r="S208">
        <v>1</v>
      </c>
      <c r="T208">
        <v>0</v>
      </c>
      <c r="U208">
        <v>0</v>
      </c>
      <c r="V208">
        <v>0</v>
      </c>
      <c r="W208">
        <v>0</v>
      </c>
      <c r="X208">
        <v>0</v>
      </c>
      <c r="Y208" s="5" t="s">
        <v>40</v>
      </c>
      <c r="Z208">
        <v>1</v>
      </c>
      <c r="AA208" s="5">
        <v>18.7</v>
      </c>
      <c r="AB208" s="5">
        <v>0</v>
      </c>
      <c r="AC208" s="5">
        <v>18.7</v>
      </c>
      <c r="AD208" s="5">
        <v>0</v>
      </c>
      <c r="AE208" s="5">
        <v>0</v>
      </c>
    </row>
    <row r="209">
      <c r="A209" s="2" t="str">
        <f>HYPERLINK("https://www.avito.ru/leningradskaya_oblast_primorsk/uslugi/priem_metalloloma_priem_tsvetnogo_loma_8023499507","8023499507")</f>
      </c>
      <c r="B209" t="s">
        <v>73</v>
      </c>
      <c r="C209" t="s">
        <v>230</v>
      </c>
      <c r="D209" t="s">
        <v>231</v>
      </c>
      <c r="E209" t="s">
        <v>34</v>
      </c>
      <c r="F209" t="s">
        <v>35</v>
      </c>
      <c r="G209" t="s">
        <v>36</v>
      </c>
      <c r="H209" s="3" t="str">
        <f>HYPERLINK("https://www.avito.ru/leningradskaya_oblast_primorsk/uslugi/priem_metalloloma_priem_tsvetnogo_loma_8023499507","Прием металлолома / Прием цветного лома")</f>
      </c>
      <c r="I209" t="s">
        <v>65</v>
      </c>
      <c r="J209" t="s">
        <v>38</v>
      </c>
      <c r="K209" t="s">
        <v>39</v>
      </c>
      <c r="L209">
        <v>4</v>
      </c>
      <c r="M209" t="s">
        <v>40</v>
      </c>
      <c r="N209">
        <v>6</v>
      </c>
      <c r="O209" s="4">
        <v>0.1666</v>
      </c>
      <c r="P209">
        <v>1</v>
      </c>
      <c r="Q209" s="5">
        <v>0</v>
      </c>
      <c r="R209" s="4">
        <v>0</v>
      </c>
      <c r="S209">
        <v>0</v>
      </c>
      <c r="T209">
        <v>0</v>
      </c>
      <c r="U209">
        <v>0</v>
      </c>
      <c r="V209">
        <v>0</v>
      </c>
      <c r="W209">
        <v>0</v>
      </c>
      <c r="X209">
        <v>0</v>
      </c>
      <c r="Y209" s="5" t="s">
        <v>40</v>
      </c>
      <c r="Z209">
        <v>0</v>
      </c>
      <c r="AA209" s="5">
        <v>0</v>
      </c>
      <c r="AB209" s="5">
        <v>0</v>
      </c>
      <c r="AC209" s="5">
        <v>0</v>
      </c>
      <c r="AD209" s="5">
        <v>0</v>
      </c>
      <c r="AE209" s="5">
        <v>0</v>
      </c>
    </row>
    <row r="210">
      <c r="A210" s="2" t="str">
        <f>HYPERLINK("https://www.avito.ru/novoselie/uslugi/priem_metalloloma_priem_chernogo_loma_8023505413","8023505413")</f>
      </c>
      <c r="B210" t="s">
        <v>73</v>
      </c>
      <c r="C210" t="s">
        <v>232</v>
      </c>
      <c r="D210" t="s">
        <v>233</v>
      </c>
      <c r="E210" t="s">
        <v>34</v>
      </c>
      <c r="F210" t="s">
        <v>35</v>
      </c>
      <c r="G210" t="s">
        <v>36</v>
      </c>
      <c r="H210" s="3" t="str">
        <f>HYPERLINK("https://www.avito.ru/novoselie/uslugi/priem_metalloloma_priem_chernogo_loma_8023505413","Прием металлолома / Прием черного лома")</f>
      </c>
      <c r="I210" t="s">
        <v>65</v>
      </c>
      <c r="J210" t="s">
        <v>38</v>
      </c>
      <c r="K210" t="s">
        <v>39</v>
      </c>
      <c r="L210">
        <v>4</v>
      </c>
      <c r="M210" t="s">
        <v>40</v>
      </c>
      <c r="N210">
        <v>5</v>
      </c>
      <c r="O210" s="4">
        <v>0.2</v>
      </c>
      <c r="P210">
        <v>1</v>
      </c>
      <c r="Q210" s="5">
        <v>18.7</v>
      </c>
      <c r="R210" s="4">
        <v>0</v>
      </c>
      <c r="S210">
        <v>1</v>
      </c>
      <c r="T210">
        <v>0</v>
      </c>
      <c r="U210">
        <v>0</v>
      </c>
      <c r="V210">
        <v>0</v>
      </c>
      <c r="W210">
        <v>0</v>
      </c>
      <c r="X210">
        <v>0</v>
      </c>
      <c r="Y210" s="5" t="s">
        <v>40</v>
      </c>
      <c r="Z210">
        <v>0</v>
      </c>
      <c r="AA210" s="5">
        <v>18.7</v>
      </c>
      <c r="AB210" s="5">
        <v>0</v>
      </c>
      <c r="AC210" s="5">
        <v>18.7</v>
      </c>
      <c r="AD210" s="5">
        <v>0</v>
      </c>
      <c r="AE210" s="5">
        <v>0</v>
      </c>
    </row>
    <row r="211">
      <c r="A211" s="2" t="str">
        <f>HYPERLINK("https://www.avito.ru/staraya/uslugi/priem_metalloloma_priem_chernogo_loma_opt_8023521575","8023521575")</f>
      </c>
      <c r="B211" t="s">
        <v>73</v>
      </c>
      <c r="C211" t="s">
        <v>228</v>
      </c>
      <c r="D211" t="s">
        <v>229</v>
      </c>
      <c r="E211" t="s">
        <v>34</v>
      </c>
      <c r="F211" t="s">
        <v>35</v>
      </c>
      <c r="G211" t="s">
        <v>36</v>
      </c>
      <c r="H211" s="3" t="str">
        <f>HYPERLINK("https://www.avito.ru/staraya/uslugi/priem_metalloloma_priem_chernogo_loma_opt_8023521575","Прием металлолома / Прием черного лома опт")</f>
      </c>
      <c r="I211" t="s">
        <v>41</v>
      </c>
      <c r="J211" t="s">
        <v>38</v>
      </c>
      <c r="K211" t="s">
        <v>39</v>
      </c>
      <c r="L211">
        <v>4</v>
      </c>
      <c r="M211" t="s">
        <v>40</v>
      </c>
      <c r="N211">
        <v>5</v>
      </c>
      <c r="O211" s="4">
        <v>0.2</v>
      </c>
      <c r="P211">
        <v>1</v>
      </c>
      <c r="Q211" s="5">
        <v>18.7</v>
      </c>
      <c r="R211" s="4">
        <v>0</v>
      </c>
      <c r="S211">
        <v>1</v>
      </c>
      <c r="T211">
        <v>0</v>
      </c>
      <c r="U211">
        <v>0</v>
      </c>
      <c r="V211">
        <v>0</v>
      </c>
      <c r="W211">
        <v>0</v>
      </c>
      <c r="X211">
        <v>0</v>
      </c>
      <c r="Y211" s="5" t="s">
        <v>40</v>
      </c>
      <c r="Z211">
        <v>0</v>
      </c>
      <c r="AA211" s="5">
        <v>18.7</v>
      </c>
      <c r="AB211" s="5">
        <v>0</v>
      </c>
      <c r="AC211" s="5">
        <v>18.7</v>
      </c>
      <c r="AD211" s="5">
        <v>0</v>
      </c>
      <c r="AE211" s="5">
        <v>0</v>
      </c>
    </row>
    <row r="212">
      <c r="A212" s="2" t="str">
        <f>HYPERLINK("https://www.avito.ru/vytegra/uslugi/priem_metalloloma_vyvoz_metalloloma_8023544567","8023544567")</f>
      </c>
      <c r="B212" t="s">
        <v>42</v>
      </c>
      <c r="C212" t="s">
        <v>179</v>
      </c>
      <c r="D212" t="s">
        <v>180</v>
      </c>
      <c r="E212" t="s">
        <v>34</v>
      </c>
      <c r="F212" t="s">
        <v>35</v>
      </c>
      <c r="G212" t="s">
        <v>36</v>
      </c>
      <c r="H212" s="3" t="str">
        <f>HYPERLINK("https://www.avito.ru/vytegra/uslugi/priem_metalloloma_vyvoz_metalloloma_8023544567","Прием металлолома/ Вывоз металлолома")</f>
      </c>
      <c r="I212" t="s">
        <v>85</v>
      </c>
      <c r="J212" t="s">
        <v>123</v>
      </c>
      <c r="K212" t="s">
        <v>124</v>
      </c>
      <c r="L212">
        <v>1</v>
      </c>
      <c r="M212" t="s">
        <v>40</v>
      </c>
      <c r="N212">
        <v>5</v>
      </c>
      <c r="O212" s="4">
        <v>0.2</v>
      </c>
      <c r="P212">
        <v>1</v>
      </c>
      <c r="Q212" s="5">
        <v>5.1</v>
      </c>
      <c r="R212" s="4">
        <v>0</v>
      </c>
      <c r="S212">
        <v>1</v>
      </c>
      <c r="T212">
        <v>0</v>
      </c>
      <c r="U212">
        <v>0</v>
      </c>
      <c r="V212">
        <v>0</v>
      </c>
      <c r="W212">
        <v>0</v>
      </c>
      <c r="X212">
        <v>0</v>
      </c>
      <c r="Y212" s="5" t="s">
        <v>40</v>
      </c>
      <c r="Z212">
        <v>0</v>
      </c>
      <c r="AA212" s="5">
        <v>5.1</v>
      </c>
      <c r="AB212" s="5">
        <v>0</v>
      </c>
      <c r="AC212" s="5">
        <v>5.1</v>
      </c>
      <c r="AD212" s="5">
        <v>0</v>
      </c>
      <c r="AE212" s="5">
        <v>0</v>
      </c>
    </row>
    <row r="213">
      <c r="A213" s="2" t="str">
        <f>HYPERLINK("https://www.avito.ru/sankt-peterburg/uslugi/priem_metalloloma_priem_chernogo_loma_8023553027","8023553027")</f>
      </c>
      <c r="B213" t="s">
        <v>55</v>
      </c>
      <c r="C213" t="s">
        <v>56</v>
      </c>
      <c r="D213" t="s">
        <v>94</v>
      </c>
      <c r="E213" t="s">
        <v>34</v>
      </c>
      <c r="F213" t="s">
        <v>35</v>
      </c>
      <c r="G213" t="s">
        <v>36</v>
      </c>
      <c r="H213" s="3" t="str">
        <f>HYPERLINK("https://www.avito.ru/sankt-peterburg/uslugi/priem_metalloloma_priem_chernogo_loma_8023553027","Прием металлолома / Прием черного лома")</f>
      </c>
      <c r="I213" t="s">
        <v>54</v>
      </c>
      <c r="J213" t="s">
        <v>38</v>
      </c>
      <c r="K213" t="s">
        <v>39</v>
      </c>
      <c r="L213">
        <v>4</v>
      </c>
      <c r="M213" t="s">
        <v>40</v>
      </c>
      <c r="N213">
        <v>12</v>
      </c>
      <c r="O213" s="4">
        <v>0.0833</v>
      </c>
      <c r="P213">
        <v>1</v>
      </c>
      <c r="Q213" s="5">
        <v>20.4</v>
      </c>
      <c r="R213" s="4">
        <v>0</v>
      </c>
      <c r="S213">
        <v>1</v>
      </c>
      <c r="T213">
        <v>0</v>
      </c>
      <c r="U213">
        <v>0</v>
      </c>
      <c r="V213">
        <v>0</v>
      </c>
      <c r="W213">
        <v>0</v>
      </c>
      <c r="X213">
        <v>0</v>
      </c>
      <c r="Y213" s="5" t="s">
        <v>40</v>
      </c>
      <c r="Z213">
        <v>0</v>
      </c>
      <c r="AA213" s="5">
        <v>20.4</v>
      </c>
      <c r="AB213" s="5">
        <v>0</v>
      </c>
      <c r="AC213" s="5">
        <v>20.4</v>
      </c>
      <c r="AD213" s="5">
        <v>0</v>
      </c>
      <c r="AE213" s="5">
        <v>0</v>
      </c>
    </row>
    <row r="214">
      <c r="A214" s="2" t="str">
        <f>HYPERLINK("https://www.avito.ru/sankt-peterburg/uslugi/priem_metalloloma_skupka_metalla_8023563857","8023563857")</f>
      </c>
      <c r="B214" t="s">
        <v>55</v>
      </c>
      <c r="C214" t="s">
        <v>56</v>
      </c>
      <c r="D214" t="s">
        <v>97</v>
      </c>
      <c r="E214" t="s">
        <v>34</v>
      </c>
      <c r="F214" t="s">
        <v>35</v>
      </c>
      <c r="G214" t="s">
        <v>36</v>
      </c>
      <c r="H214" s="3" t="str">
        <f>HYPERLINK("https://www.avito.ru/sankt-peterburg/uslugi/priem_metalloloma_skupka_metalla_8023563857","Прием металлолома / Скупка металла")</f>
      </c>
      <c r="I214" t="s">
        <v>85</v>
      </c>
      <c r="J214" t="s">
        <v>111</v>
      </c>
      <c r="K214" t="s">
        <v>112</v>
      </c>
      <c r="L214">
        <v>5</v>
      </c>
      <c r="M214" t="s">
        <v>40</v>
      </c>
      <c r="N214">
        <v>30</v>
      </c>
      <c r="O214" s="4">
        <v>0.0333</v>
      </c>
      <c r="P214">
        <v>1</v>
      </c>
      <c r="Q214" s="5">
        <v>20.4</v>
      </c>
      <c r="R214" s="4">
        <v>0</v>
      </c>
      <c r="S214">
        <v>1</v>
      </c>
      <c r="T214">
        <v>0</v>
      </c>
      <c r="U214">
        <v>0</v>
      </c>
      <c r="V214">
        <v>0</v>
      </c>
      <c r="W214">
        <v>0</v>
      </c>
      <c r="X214">
        <v>0</v>
      </c>
      <c r="Y214" s="5" t="s">
        <v>40</v>
      </c>
      <c r="Z214">
        <v>1</v>
      </c>
      <c r="AA214" s="5">
        <v>20.4</v>
      </c>
      <c r="AB214" s="5">
        <v>0</v>
      </c>
      <c r="AC214" s="5">
        <v>20.4</v>
      </c>
      <c r="AD214" s="5">
        <v>0</v>
      </c>
      <c r="AE214" s="5">
        <v>0</v>
      </c>
    </row>
    <row r="215">
      <c r="A215" s="2" t="str">
        <f>HYPERLINK("https://www.avito.ru/borovichi/uslugi/priem_i_vyvoz_metalloloma_sdat_lom_8023592758","8023592758")</f>
      </c>
      <c r="B215" t="s">
        <v>48</v>
      </c>
      <c r="C215" t="s">
        <v>70</v>
      </c>
      <c r="D215" t="s">
        <v>71</v>
      </c>
      <c r="E215" t="s">
        <v>34</v>
      </c>
      <c r="F215" t="s">
        <v>35</v>
      </c>
      <c r="G215" t="s">
        <v>36</v>
      </c>
      <c r="H215" s="3" t="str">
        <f>HYPERLINK("https://www.avito.ru/borovichi/uslugi/priem_i_vyvoz_metalloloma_sdat_lom_8023592758","Прием и вывоз металлолома / Сдать лом")</f>
      </c>
      <c r="I215" t="s">
        <v>78</v>
      </c>
      <c r="J215" t="s">
        <v>38</v>
      </c>
      <c r="K215" t="s">
        <v>39</v>
      </c>
      <c r="L215">
        <v>4</v>
      </c>
      <c r="M215" t="s">
        <v>40</v>
      </c>
      <c r="N215">
        <v>20</v>
      </c>
      <c r="O215" s="4">
        <v>0.05</v>
      </c>
      <c r="P215">
        <v>1</v>
      </c>
      <c r="Q215" s="5">
        <v>5.1</v>
      </c>
      <c r="R215" s="4">
        <v>0</v>
      </c>
      <c r="S215">
        <v>1</v>
      </c>
      <c r="T215">
        <v>0</v>
      </c>
      <c r="U215">
        <v>0</v>
      </c>
      <c r="V215">
        <v>0</v>
      </c>
      <c r="W215">
        <v>0</v>
      </c>
      <c r="X215">
        <v>0</v>
      </c>
      <c r="Y215" s="5" t="s">
        <v>40</v>
      </c>
      <c r="Z215">
        <v>0</v>
      </c>
      <c r="AA215" s="5">
        <v>5.1</v>
      </c>
      <c r="AB215" s="5">
        <v>0</v>
      </c>
      <c r="AC215" s="5">
        <v>5.1</v>
      </c>
      <c r="AD215" s="5">
        <v>0</v>
      </c>
      <c r="AE215" s="5">
        <v>0</v>
      </c>
    </row>
    <row r="216">
      <c r="A216" s="2" t="str">
        <f>HYPERLINK("https://www.avito.ru/leningradskaya_oblast_primorsk/uslugi/priem_i_vyvoz_metalloloma_priem_redkih_metallov_8023603218","8023603218")</f>
      </c>
      <c r="B216" t="s">
        <v>73</v>
      </c>
      <c r="C216" t="s">
        <v>230</v>
      </c>
      <c r="D216" t="s">
        <v>231</v>
      </c>
      <c r="E216" t="s">
        <v>34</v>
      </c>
      <c r="F216" t="s">
        <v>35</v>
      </c>
      <c r="G216" t="s">
        <v>36</v>
      </c>
      <c r="H216" s="3" t="str">
        <f>HYPERLINK("https://www.avito.ru/leningradskaya_oblast_primorsk/uslugi/priem_i_vyvoz_metalloloma_priem_redkih_metallov_8023603218","Прием и вывоз металлолома / Прием редких металлов")</f>
      </c>
      <c r="I216" t="s">
        <v>85</v>
      </c>
      <c r="J216" t="s">
        <v>38</v>
      </c>
      <c r="K216" t="s">
        <v>39</v>
      </c>
      <c r="L216">
        <v>4</v>
      </c>
      <c r="M216" t="s">
        <v>40</v>
      </c>
      <c r="N216">
        <v>3</v>
      </c>
      <c r="O216" s="4">
        <v>0.3333</v>
      </c>
      <c r="P216">
        <v>1</v>
      </c>
      <c r="Q216" s="5">
        <v>18.7</v>
      </c>
      <c r="R216" s="4">
        <v>1</v>
      </c>
      <c r="S216">
        <v>1</v>
      </c>
      <c r="T216">
        <v>1</v>
      </c>
      <c r="U216">
        <v>1</v>
      </c>
      <c r="V216">
        <v>0</v>
      </c>
      <c r="W216">
        <v>0</v>
      </c>
      <c r="X216">
        <v>0</v>
      </c>
      <c r="Y216" s="5">
        <v>18.7</v>
      </c>
      <c r="Z216">
        <v>0</v>
      </c>
      <c r="AA216" s="5">
        <v>18.7</v>
      </c>
      <c r="AB216" s="5">
        <v>0</v>
      </c>
      <c r="AC216" s="5">
        <v>18.7</v>
      </c>
      <c r="AD216" s="5">
        <v>0</v>
      </c>
      <c r="AE216" s="5">
        <v>0</v>
      </c>
    </row>
    <row r="217">
      <c r="A217" s="2" t="str">
        <f>HYPERLINK("https://www.avito.ru/murino/uslugi/priem_metalloloma_priem_tsvetnogo_loma_8023648921","8023648921")</f>
      </c>
      <c r="B217" t="s">
        <v>73</v>
      </c>
      <c r="C217" t="s">
        <v>208</v>
      </c>
      <c r="D217" t="s">
        <v>209</v>
      </c>
      <c r="E217" t="s">
        <v>34</v>
      </c>
      <c r="F217" t="s">
        <v>35</v>
      </c>
      <c r="G217" t="s">
        <v>36</v>
      </c>
      <c r="H217" s="3" t="str">
        <f>HYPERLINK("https://www.avito.ru/murino/uslugi/priem_metalloloma_priem_tsvetnogo_loma_8023648921","Прием металлолома / Прием цветного лома")</f>
      </c>
      <c r="I217" t="s">
        <v>37</v>
      </c>
      <c r="J217" t="s">
        <v>38</v>
      </c>
      <c r="K217" t="s">
        <v>39</v>
      </c>
      <c r="L217">
        <v>4</v>
      </c>
      <c r="M217" t="s">
        <v>40</v>
      </c>
      <c r="N217">
        <v>11</v>
      </c>
      <c r="O217" s="4">
        <v>0.0909</v>
      </c>
      <c r="P217">
        <v>1</v>
      </c>
      <c r="Q217" s="5">
        <v>18.7</v>
      </c>
      <c r="R217" s="4">
        <v>0</v>
      </c>
      <c r="S217">
        <v>1</v>
      </c>
      <c r="T217">
        <v>0</v>
      </c>
      <c r="U217">
        <v>0</v>
      </c>
      <c r="V217">
        <v>0</v>
      </c>
      <c r="W217">
        <v>0</v>
      </c>
      <c r="X217">
        <v>0</v>
      </c>
      <c r="Y217" s="5" t="s">
        <v>40</v>
      </c>
      <c r="Z217">
        <v>0</v>
      </c>
      <c r="AA217" s="5">
        <v>18.7</v>
      </c>
      <c r="AB217" s="5">
        <v>0</v>
      </c>
      <c r="AC217" s="5">
        <v>18.7</v>
      </c>
      <c r="AD217" s="5">
        <v>0</v>
      </c>
      <c r="AE217" s="5">
        <v>0</v>
      </c>
    </row>
    <row r="218">
      <c r="A218" s="2" t="str">
        <f>HYPERLINK("https://www.avito.ru/sertolovo/uslugi/priem_metalla_sdat_lom_vyvoz_loma_8023667255","8023667255")</f>
      </c>
      <c r="B218" t="s">
        <v>73</v>
      </c>
      <c r="C218" t="s">
        <v>191</v>
      </c>
      <c r="D218" t="s">
        <v>192</v>
      </c>
      <c r="E218" t="s">
        <v>34</v>
      </c>
      <c r="F218" t="s">
        <v>35</v>
      </c>
      <c r="G218" t="s">
        <v>36</v>
      </c>
      <c r="H218" s="3" t="str">
        <f>HYPERLINK("https://www.avito.ru/sertolovo/uslugi/priem_metalla_sdat_lom_vyvoz_loma_8023667255","Приём металла /Сдать лом / Вывоз лома")</f>
      </c>
      <c r="I218" t="s">
        <v>54</v>
      </c>
      <c r="J218" t="s">
        <v>38</v>
      </c>
      <c r="K218" t="s">
        <v>39</v>
      </c>
      <c r="L218">
        <v>4</v>
      </c>
      <c r="M218" t="s">
        <v>40</v>
      </c>
      <c r="N218">
        <v>3</v>
      </c>
      <c r="O218" s="4">
        <v>0.3333</v>
      </c>
      <c r="P218">
        <v>1</v>
      </c>
      <c r="Q218" s="5">
        <v>18.7</v>
      </c>
      <c r="R218" s="4">
        <v>0</v>
      </c>
      <c r="S218">
        <v>1</v>
      </c>
      <c r="T218">
        <v>0</v>
      </c>
      <c r="U218">
        <v>0</v>
      </c>
      <c r="V218">
        <v>0</v>
      </c>
      <c r="W218">
        <v>0</v>
      </c>
      <c r="X218">
        <v>0</v>
      </c>
      <c r="Y218" s="5" t="s">
        <v>40</v>
      </c>
      <c r="Z218">
        <v>0</v>
      </c>
      <c r="AA218" s="5">
        <v>18.7</v>
      </c>
      <c r="AB218" s="5">
        <v>0</v>
      </c>
      <c r="AC218" s="5">
        <v>18.7</v>
      </c>
      <c r="AD218" s="5">
        <v>0</v>
      </c>
      <c r="AE218" s="5">
        <v>0</v>
      </c>
    </row>
    <row r="219">
      <c r="A219" s="2" t="str">
        <f>HYPERLINK("https://www.avito.ru/ostrov/uslugi/priem_metalla_demontazh_priem_metalloloma_8023687091","8023687091")</f>
      </c>
      <c r="B219" t="s">
        <v>31</v>
      </c>
      <c r="C219" t="s">
        <v>61</v>
      </c>
      <c r="D219" t="s">
        <v>62</v>
      </c>
      <c r="E219" t="s">
        <v>34</v>
      </c>
      <c r="F219" t="s">
        <v>35</v>
      </c>
      <c r="G219" t="s">
        <v>36</v>
      </c>
      <c r="H219" s="3" t="str">
        <f>HYPERLINK("https://www.avito.ru/ostrov/uslugi/priem_metalla_demontazh_priem_metalloloma_8023687091","Прием металла / Демонтаж / Прием металлолома")</f>
      </c>
      <c r="I219" t="s">
        <v>85</v>
      </c>
      <c r="J219" t="s">
        <v>123</v>
      </c>
      <c r="K219" t="s">
        <v>124</v>
      </c>
      <c r="L219">
        <v>1</v>
      </c>
      <c r="M219" t="s">
        <v>40</v>
      </c>
      <c r="N219">
        <v>11</v>
      </c>
      <c r="O219" s="4">
        <v>0.0909</v>
      </c>
      <c r="P219">
        <v>1</v>
      </c>
      <c r="Q219" s="5">
        <v>5.1</v>
      </c>
      <c r="R219" s="4">
        <v>0</v>
      </c>
      <c r="S219">
        <v>1</v>
      </c>
      <c r="T219">
        <v>0</v>
      </c>
      <c r="U219">
        <v>0</v>
      </c>
      <c r="V219">
        <v>0</v>
      </c>
      <c r="W219">
        <v>0</v>
      </c>
      <c r="X219">
        <v>0</v>
      </c>
      <c r="Y219" s="5" t="s">
        <v>40</v>
      </c>
      <c r="Z219">
        <v>0</v>
      </c>
      <c r="AA219" s="5">
        <v>5.1</v>
      </c>
      <c r="AB219" s="5">
        <v>0</v>
      </c>
      <c r="AC219" s="5">
        <v>5.1</v>
      </c>
      <c r="AD219" s="5">
        <v>0</v>
      </c>
      <c r="AE219" s="5">
        <v>0</v>
      </c>
    </row>
    <row r="220">
      <c r="A220" s="2" t="str">
        <f>HYPERLINK("https://www.avito.ru/sankt-peterburg/uslugi/priem_metalla_sdat_lom_vyvoz_loma_8023700811","8023700811")</f>
      </c>
      <c r="B220" t="s">
        <v>55</v>
      </c>
      <c r="C220" t="s">
        <v>56</v>
      </c>
      <c r="D220" t="s">
        <v>193</v>
      </c>
      <c r="E220" t="s">
        <v>34</v>
      </c>
      <c r="F220" t="s">
        <v>35</v>
      </c>
      <c r="G220" t="s">
        <v>36</v>
      </c>
      <c r="H220" s="3" t="str">
        <f>HYPERLINK("https://www.avito.ru/sankt-peterburg/uslugi/priem_metalla_sdat_lom_vyvoz_loma_8023700811","Приём металла /Сдать лом / Вывоз лома")</f>
      </c>
      <c r="I220" t="s">
        <v>78</v>
      </c>
      <c r="J220" t="s">
        <v>123</v>
      </c>
      <c r="K220" t="s">
        <v>124</v>
      </c>
      <c r="L220">
        <v>1</v>
      </c>
      <c r="M220" t="s">
        <v>40</v>
      </c>
      <c r="N220">
        <v>35</v>
      </c>
      <c r="O220" s="4">
        <v>0.0285</v>
      </c>
      <c r="P220">
        <v>1</v>
      </c>
      <c r="Q220" s="5">
        <v>20.4</v>
      </c>
      <c r="R220" s="4">
        <v>1</v>
      </c>
      <c r="S220">
        <v>1</v>
      </c>
      <c r="T220">
        <v>1</v>
      </c>
      <c r="U220">
        <v>0</v>
      </c>
      <c r="V220">
        <v>1</v>
      </c>
      <c r="W220">
        <v>0</v>
      </c>
      <c r="X220">
        <v>0</v>
      </c>
      <c r="Y220" s="5">
        <v>20.4</v>
      </c>
      <c r="Z220">
        <v>0</v>
      </c>
      <c r="AA220" s="5">
        <v>20.4</v>
      </c>
      <c r="AB220" s="5">
        <v>0</v>
      </c>
      <c r="AC220" s="5">
        <v>20.4</v>
      </c>
      <c r="AD220" s="5">
        <v>0</v>
      </c>
      <c r="AE220" s="5">
        <v>0</v>
      </c>
    </row>
    <row r="221">
      <c r="A221" s="2" t="str">
        <f>HYPERLINK("https://www.avito.ru/ivangorod/uslugi/priem_metalloloma_demontazh_vyvoz_metalla_8023757371","8023757371")</f>
      </c>
      <c r="B221" t="s">
        <v>73</v>
      </c>
      <c r="C221" t="s">
        <v>168</v>
      </c>
      <c r="D221" t="s">
        <v>169</v>
      </c>
      <c r="E221" t="s">
        <v>34</v>
      </c>
      <c r="F221" t="s">
        <v>35</v>
      </c>
      <c r="G221" t="s">
        <v>36</v>
      </c>
      <c r="H221" s="3" t="str">
        <f>HYPERLINK("https://www.avito.ru/ivangorod/uslugi/priem_metalloloma_demontazh_vyvoz_metalla_8023757371","Прием металлолома / Демонтаж / Вывоз металла")</f>
      </c>
      <c r="I221" t="s">
        <v>85</v>
      </c>
      <c r="J221" t="s">
        <v>38</v>
      </c>
      <c r="K221" t="s">
        <v>39</v>
      </c>
      <c r="L221">
        <v>4</v>
      </c>
      <c r="M221" t="s">
        <v>40</v>
      </c>
      <c r="N221">
        <v>5</v>
      </c>
      <c r="O221" s="4">
        <v>0.2</v>
      </c>
      <c r="P221">
        <v>1</v>
      </c>
      <c r="Q221" s="5">
        <v>18.7</v>
      </c>
      <c r="R221" s="4">
        <v>0</v>
      </c>
      <c r="S221">
        <v>1</v>
      </c>
      <c r="T221">
        <v>0</v>
      </c>
      <c r="U221">
        <v>0</v>
      </c>
      <c r="V221">
        <v>0</v>
      </c>
      <c r="W221">
        <v>0</v>
      </c>
      <c r="X221">
        <v>0</v>
      </c>
      <c r="Y221" s="5" t="s">
        <v>40</v>
      </c>
      <c r="Z221">
        <v>0</v>
      </c>
      <c r="AA221" s="5">
        <v>18.7</v>
      </c>
      <c r="AB221" s="5">
        <v>0</v>
      </c>
      <c r="AC221" s="5">
        <v>18.7</v>
      </c>
      <c r="AD221" s="5">
        <v>0</v>
      </c>
      <c r="AE221" s="5">
        <v>0</v>
      </c>
    </row>
    <row r="222">
      <c r="A222" s="2" t="str">
        <f>HYPERLINK("https://www.avito.ru/vsevolozhsk/uslugi/priem_metalla_demontazh_priem_metalloloma_8023772773","8023772773")</f>
      </c>
      <c r="B222" t="s">
        <v>73</v>
      </c>
      <c r="C222" t="s">
        <v>164</v>
      </c>
      <c r="D222" t="s">
        <v>165</v>
      </c>
      <c r="E222" t="s">
        <v>34</v>
      </c>
      <c r="F222" t="s">
        <v>35</v>
      </c>
      <c r="G222" t="s">
        <v>36</v>
      </c>
      <c r="H222" s="3" t="str">
        <f>HYPERLINK("https://www.avito.ru/vsevolozhsk/uslugi/priem_metalla_demontazh_priem_metalloloma_8023772773","Прием металла / Демонтаж / Прием металлолома")</f>
      </c>
      <c r="I222" t="s">
        <v>95</v>
      </c>
      <c r="J222" t="s">
        <v>38</v>
      </c>
      <c r="K222" t="s">
        <v>39</v>
      </c>
      <c r="L222">
        <v>4</v>
      </c>
      <c r="M222" t="s">
        <v>40</v>
      </c>
      <c r="N222">
        <v>5</v>
      </c>
      <c r="O222" s="4">
        <v>0.2</v>
      </c>
      <c r="P222">
        <v>1</v>
      </c>
      <c r="Q222" s="5">
        <v>18.7</v>
      </c>
      <c r="R222" s="4">
        <v>0</v>
      </c>
      <c r="S222">
        <v>1</v>
      </c>
      <c r="T222">
        <v>0</v>
      </c>
      <c r="U222">
        <v>0</v>
      </c>
      <c r="V222">
        <v>0</v>
      </c>
      <c r="W222">
        <v>0</v>
      </c>
      <c r="X222">
        <v>0</v>
      </c>
      <c r="Y222" s="5" t="s">
        <v>40</v>
      </c>
      <c r="Z222">
        <v>0</v>
      </c>
      <c r="AA222" s="5">
        <v>18.7</v>
      </c>
      <c r="AB222" s="5">
        <v>0</v>
      </c>
      <c r="AC222" s="5">
        <v>18.7</v>
      </c>
      <c r="AD222" s="5">
        <v>0</v>
      </c>
      <c r="AE222" s="5">
        <v>0</v>
      </c>
    </row>
    <row r="223">
      <c r="A223" s="2" t="str">
        <f>HYPERLINK("https://www.avito.ru/sankt-peterburg/uslugi/priem_metalloloma_priem_chernogo_loma_8023857552","8023857552")</f>
      </c>
      <c r="B223" t="s">
        <v>55</v>
      </c>
      <c r="C223" t="s">
        <v>56</v>
      </c>
      <c r="D223" t="s">
        <v>79</v>
      </c>
      <c r="E223" t="s">
        <v>34</v>
      </c>
      <c r="F223" t="s">
        <v>35</v>
      </c>
      <c r="G223" t="s">
        <v>36</v>
      </c>
      <c r="H223" s="3" t="str">
        <f>HYPERLINK("https://www.avito.ru/sankt-peterburg/uslugi/priem_metalloloma_priem_chernogo_loma_8023857552","Прием металлолома / Прием черного лома")</f>
      </c>
      <c r="I223" t="s">
        <v>37</v>
      </c>
      <c r="J223" t="s">
        <v>38</v>
      </c>
      <c r="K223" t="s">
        <v>39</v>
      </c>
      <c r="L223">
        <v>4</v>
      </c>
      <c r="M223" t="s">
        <v>40</v>
      </c>
      <c r="N223">
        <v>20</v>
      </c>
      <c r="O223" s="4">
        <v>0.05</v>
      </c>
      <c r="P223">
        <v>1</v>
      </c>
      <c r="Q223" s="5">
        <v>20.4</v>
      </c>
      <c r="R223" s="4">
        <v>0</v>
      </c>
      <c r="S223">
        <v>1</v>
      </c>
      <c r="T223">
        <v>0</v>
      </c>
      <c r="U223">
        <v>0</v>
      </c>
      <c r="V223">
        <v>0</v>
      </c>
      <c r="W223">
        <v>0</v>
      </c>
      <c r="X223">
        <v>0</v>
      </c>
      <c r="Y223" s="5" t="s">
        <v>40</v>
      </c>
      <c r="Z223">
        <v>0</v>
      </c>
      <c r="AA223" s="5">
        <v>20.4</v>
      </c>
      <c r="AB223" s="5">
        <v>0</v>
      </c>
      <c r="AC223" s="5">
        <v>20.4</v>
      </c>
      <c r="AD223" s="5">
        <v>0</v>
      </c>
      <c r="AE223" s="5">
        <v>0</v>
      </c>
    </row>
    <row r="224">
      <c r="A224" s="2" t="str">
        <f>HYPERLINK("https://www.avito.ru/kamennogorsk/uslugi/priem_metalloloma_priem_chernogo_loma_opt_8022910285","8022910285")</f>
      </c>
      <c r="B224" t="s">
        <v>73</v>
      </c>
      <c r="C224" t="s">
        <v>234</v>
      </c>
      <c r="D224" t="s">
        <v>235</v>
      </c>
      <c r="E224" t="s">
        <v>34</v>
      </c>
      <c r="F224" t="s">
        <v>35</v>
      </c>
      <c r="G224" t="s">
        <v>36</v>
      </c>
      <c r="H224" s="3" t="str">
        <f>HYPERLINK("https://www.avito.ru/kamennogorsk/uslugi/priem_metalloloma_priem_chernogo_loma_opt_8022910285","Прием металлолома / Прием черного лома опт")</f>
      </c>
      <c r="I224" t="s">
        <v>65</v>
      </c>
      <c r="J224" t="s">
        <v>38</v>
      </c>
      <c r="K224" t="s">
        <v>39</v>
      </c>
      <c r="L224">
        <v>4</v>
      </c>
      <c r="M224" t="s">
        <v>40</v>
      </c>
      <c r="N224">
        <v>3</v>
      </c>
      <c r="O224" s="4">
        <v>0</v>
      </c>
      <c r="P224">
        <v>0</v>
      </c>
      <c r="Q224" s="5" t="s">
        <v>40</v>
      </c>
      <c r="R224" s="4" t="s">
        <v>40</v>
      </c>
      <c r="S224">
        <v>0</v>
      </c>
      <c r="T224">
        <v>0</v>
      </c>
      <c r="U224">
        <v>0</v>
      </c>
      <c r="V224">
        <v>0</v>
      </c>
      <c r="W224">
        <v>0</v>
      </c>
      <c r="X224">
        <v>0</v>
      </c>
      <c r="Y224" s="5" t="s">
        <v>40</v>
      </c>
      <c r="Z224">
        <v>0</v>
      </c>
      <c r="AA224" s="5">
        <v>0</v>
      </c>
      <c r="AB224" s="5">
        <v>0</v>
      </c>
      <c r="AC224" s="5">
        <v>0</v>
      </c>
      <c r="AD224" s="5">
        <v>0</v>
      </c>
      <c r="AE224" s="5">
        <v>0</v>
      </c>
    </row>
    <row r="225">
      <c r="A225" s="2" t="str">
        <f>HYPERLINK("https://www.avito.ru/sankt-peterburg/uslugi/priem_i_vyvoz_metalloloma_priem_metalla_8022913806","8022913806")</f>
      </c>
      <c r="B225" t="s">
        <v>55</v>
      </c>
      <c r="C225" t="s">
        <v>56</v>
      </c>
      <c r="D225" t="s">
        <v>79</v>
      </c>
      <c r="E225" t="s">
        <v>34</v>
      </c>
      <c r="F225" t="s">
        <v>35</v>
      </c>
      <c r="G225" t="s">
        <v>36</v>
      </c>
      <c r="H225" s="3" t="str">
        <f>HYPERLINK("https://www.avito.ru/sankt-peterburg/uslugi/priem_i_vyvoz_metalloloma_priem_metalla_8022913806","Прием и вывоз металлолома / Прием металла")</f>
      </c>
      <c r="I225" t="s">
        <v>95</v>
      </c>
      <c r="J225" t="s">
        <v>96</v>
      </c>
      <c r="K225" t="s">
        <v>69</v>
      </c>
      <c r="L225">
        <v>8</v>
      </c>
      <c r="M225" t="s">
        <v>40</v>
      </c>
      <c r="N225">
        <v>38</v>
      </c>
      <c r="O225" s="4">
        <v>0</v>
      </c>
      <c r="P225">
        <v>0</v>
      </c>
      <c r="Q225" s="5" t="s">
        <v>40</v>
      </c>
      <c r="R225" s="4" t="s">
        <v>40</v>
      </c>
      <c r="S225">
        <v>0</v>
      </c>
      <c r="T225">
        <v>0</v>
      </c>
      <c r="U225">
        <v>0</v>
      </c>
      <c r="V225">
        <v>0</v>
      </c>
      <c r="W225">
        <v>0</v>
      </c>
      <c r="X225">
        <v>0</v>
      </c>
      <c r="Y225" s="5" t="s">
        <v>40</v>
      </c>
      <c r="Z225">
        <v>0</v>
      </c>
      <c r="AA225" s="5">
        <v>0</v>
      </c>
      <c r="AB225" s="5">
        <v>0</v>
      </c>
      <c r="AC225" s="5">
        <v>0</v>
      </c>
      <c r="AD225" s="5">
        <v>0</v>
      </c>
      <c r="AE225" s="5">
        <v>0</v>
      </c>
    </row>
    <row r="226">
      <c r="A226" s="2" t="str">
        <f>HYPERLINK("https://www.avito.ru/shlisselburg/uslugi/priem_metalla_demontazh_priem_metalloloma_8022921132","8022921132")</f>
      </c>
      <c r="B226" t="s">
        <v>73</v>
      </c>
      <c r="C226" t="s">
        <v>225</v>
      </c>
      <c r="D226" t="s">
        <v>226</v>
      </c>
      <c r="E226" t="s">
        <v>34</v>
      </c>
      <c r="F226" t="s">
        <v>35</v>
      </c>
      <c r="G226" t="s">
        <v>36</v>
      </c>
      <c r="H226" s="3" t="str">
        <f>HYPERLINK("https://www.avito.ru/shlisselburg/uslugi/priem_metalla_demontazh_priem_metalloloma_8022921132","Прием металла / Демонтаж / Прием металлолома")</f>
      </c>
      <c r="I226" t="s">
        <v>78</v>
      </c>
      <c r="J226" t="s">
        <v>38</v>
      </c>
      <c r="K226" t="s">
        <v>39</v>
      </c>
      <c r="L226">
        <v>4</v>
      </c>
      <c r="M226" t="s">
        <v>40</v>
      </c>
      <c r="N226">
        <v>5</v>
      </c>
      <c r="O226" s="4">
        <v>0</v>
      </c>
      <c r="P226">
        <v>0</v>
      </c>
      <c r="Q226" s="5" t="s">
        <v>40</v>
      </c>
      <c r="R226" s="4" t="s">
        <v>40</v>
      </c>
      <c r="S226">
        <v>0</v>
      </c>
      <c r="T226">
        <v>0</v>
      </c>
      <c r="U226">
        <v>0</v>
      </c>
      <c r="V226">
        <v>0</v>
      </c>
      <c r="W226">
        <v>0</v>
      </c>
      <c r="X226">
        <v>0</v>
      </c>
      <c r="Y226" s="5" t="s">
        <v>40</v>
      </c>
      <c r="Z226">
        <v>0</v>
      </c>
      <c r="AA226" s="5">
        <v>0</v>
      </c>
      <c r="AB226" s="5">
        <v>0</v>
      </c>
      <c r="AC226" s="5">
        <v>0</v>
      </c>
      <c r="AD226" s="5">
        <v>0</v>
      </c>
      <c r="AE226" s="5">
        <v>0</v>
      </c>
    </row>
    <row r="227">
      <c r="A227" s="2" t="str">
        <f>HYPERLINK("https://www.avito.ru/murino/uslugi/priem_i_vyvoz_metalloloma_priem_metalla_8022928449","8022928449")</f>
      </c>
      <c r="B227" t="s">
        <v>73</v>
      </c>
      <c r="C227" t="s">
        <v>208</v>
      </c>
      <c r="D227" t="s">
        <v>209</v>
      </c>
      <c r="E227" t="s">
        <v>34</v>
      </c>
      <c r="F227" t="s">
        <v>35</v>
      </c>
      <c r="G227" t="s">
        <v>36</v>
      </c>
      <c r="H227" s="3" t="str">
        <f>HYPERLINK("https://www.avito.ru/murino/uslugi/priem_i_vyvoz_metalloloma_priem_metalla_8022928449","Прием и вывоз металлолома / Прием металла")</f>
      </c>
      <c r="I227" t="s">
        <v>151</v>
      </c>
      <c r="J227" t="s">
        <v>38</v>
      </c>
      <c r="K227" t="s">
        <v>39</v>
      </c>
      <c r="L227">
        <v>4</v>
      </c>
      <c r="M227" t="s">
        <v>40</v>
      </c>
      <c r="N227">
        <v>8</v>
      </c>
      <c r="O227" s="4">
        <v>0</v>
      </c>
      <c r="P227">
        <v>0</v>
      </c>
      <c r="Q227" s="5" t="s">
        <v>40</v>
      </c>
      <c r="R227" s="4" t="s">
        <v>40</v>
      </c>
      <c r="S227">
        <v>0</v>
      </c>
      <c r="T227">
        <v>0</v>
      </c>
      <c r="U227">
        <v>0</v>
      </c>
      <c r="V227">
        <v>0</v>
      </c>
      <c r="W227">
        <v>0</v>
      </c>
      <c r="X227">
        <v>0</v>
      </c>
      <c r="Y227" s="5" t="s">
        <v>40</v>
      </c>
      <c r="Z227">
        <v>0</v>
      </c>
      <c r="AA227" s="5">
        <v>0</v>
      </c>
      <c r="AB227" s="5">
        <v>0</v>
      </c>
      <c r="AC227" s="5">
        <v>0</v>
      </c>
      <c r="AD227" s="5">
        <v>0</v>
      </c>
      <c r="AE227" s="5">
        <v>0</v>
      </c>
    </row>
    <row r="228">
      <c r="A228" s="2" t="str">
        <f>HYPERLINK("https://www.avito.ru/yanino-1/uslugi/priem_i_vyvoz_metalloloma_sdat_lom_8022937882","8022937882")</f>
      </c>
      <c r="B228" t="s">
        <v>73</v>
      </c>
      <c r="C228" t="s">
        <v>215</v>
      </c>
      <c r="D228" t="s">
        <v>216</v>
      </c>
      <c r="E228" t="s">
        <v>34</v>
      </c>
      <c r="F228" t="s">
        <v>35</v>
      </c>
      <c r="G228" t="s">
        <v>36</v>
      </c>
      <c r="H228" s="3" t="str">
        <f>HYPERLINK("https://www.avito.ru/yanino-1/uslugi/priem_i_vyvoz_metalloloma_sdat_lom_8022937882","Прием и вывоз металлолома / Сдать лом")</f>
      </c>
      <c r="I228" t="s">
        <v>85</v>
      </c>
      <c r="J228" t="s">
        <v>38</v>
      </c>
      <c r="K228" t="s">
        <v>39</v>
      </c>
      <c r="L228">
        <v>4</v>
      </c>
      <c r="M228" t="s">
        <v>40</v>
      </c>
      <c r="N228">
        <v>2</v>
      </c>
      <c r="O228" s="4">
        <v>0</v>
      </c>
      <c r="P228">
        <v>0</v>
      </c>
      <c r="Q228" s="5" t="s">
        <v>40</v>
      </c>
      <c r="R228" s="4" t="s">
        <v>40</v>
      </c>
      <c r="S228">
        <v>0</v>
      </c>
      <c r="T228">
        <v>0</v>
      </c>
      <c r="U228">
        <v>0</v>
      </c>
      <c r="V228">
        <v>0</v>
      </c>
      <c r="W228">
        <v>0</v>
      </c>
      <c r="X228">
        <v>0</v>
      </c>
      <c r="Y228" s="5" t="s">
        <v>40</v>
      </c>
      <c r="Z228">
        <v>0</v>
      </c>
      <c r="AA228" s="5">
        <v>0</v>
      </c>
      <c r="AB228" s="5">
        <v>0</v>
      </c>
      <c r="AC228" s="5">
        <v>0</v>
      </c>
      <c r="AD228" s="5">
        <v>0</v>
      </c>
      <c r="AE228" s="5">
        <v>0</v>
      </c>
    </row>
    <row r="229">
      <c r="A229" s="2" t="str">
        <f>HYPERLINK("https://www.avito.ru/volosovo/uslugi/priem_metalloloma_skupka_metalla_8022943619","8022943619")</f>
      </c>
      <c r="B229" t="s">
        <v>73</v>
      </c>
      <c r="C229" t="s">
        <v>203</v>
      </c>
      <c r="D229" t="s">
        <v>204</v>
      </c>
      <c r="E229" t="s">
        <v>34</v>
      </c>
      <c r="F229" t="s">
        <v>35</v>
      </c>
      <c r="G229" t="s">
        <v>36</v>
      </c>
      <c r="H229" s="3" t="str">
        <f>HYPERLINK("https://www.avito.ru/volosovo/uslugi/priem_metalloloma_skupka_metalla_8022943619","Прием металлолома / Скупка металла")</f>
      </c>
      <c r="I229" t="s">
        <v>151</v>
      </c>
      <c r="J229" t="s">
        <v>38</v>
      </c>
      <c r="K229" t="s">
        <v>39</v>
      </c>
      <c r="L229">
        <v>4</v>
      </c>
      <c r="M229" t="s">
        <v>40</v>
      </c>
      <c r="N229">
        <v>2</v>
      </c>
      <c r="O229" s="4">
        <v>0</v>
      </c>
      <c r="P229">
        <v>0</v>
      </c>
      <c r="Q229" s="5" t="s">
        <v>40</v>
      </c>
      <c r="R229" s="4" t="s">
        <v>40</v>
      </c>
      <c r="S229">
        <v>0</v>
      </c>
      <c r="T229">
        <v>0</v>
      </c>
      <c r="U229">
        <v>0</v>
      </c>
      <c r="V229">
        <v>0</v>
      </c>
      <c r="W229">
        <v>0</v>
      </c>
      <c r="X229">
        <v>0</v>
      </c>
      <c r="Y229" s="5" t="s">
        <v>40</v>
      </c>
      <c r="Z229">
        <v>0</v>
      </c>
      <c r="AA229" s="5">
        <v>0</v>
      </c>
      <c r="AB229" s="5">
        <v>0</v>
      </c>
      <c r="AC229" s="5">
        <v>0</v>
      </c>
      <c r="AD229" s="5">
        <v>0</v>
      </c>
      <c r="AE229" s="5">
        <v>0</v>
      </c>
    </row>
    <row r="230">
      <c r="A230" s="2" t="str">
        <f>HYPERLINK("https://www.avito.ru/vysotsk/uslugi/priem_metalloloma_priem_loma_demontazh_8022957959","8022957959")</f>
      </c>
      <c r="B230" t="s">
        <v>73</v>
      </c>
      <c r="C230" t="s">
        <v>210</v>
      </c>
      <c r="D230" t="s">
        <v>211</v>
      </c>
      <c r="E230" t="s">
        <v>34</v>
      </c>
      <c r="F230" t="s">
        <v>35</v>
      </c>
      <c r="G230" t="s">
        <v>36</v>
      </c>
      <c r="H230" s="3" t="str">
        <f>HYPERLINK("https://www.avito.ru/vysotsk/uslugi/priem_metalloloma_priem_loma_demontazh_8022957959","Прием металлолома / Прием лома / Демонтаж")</f>
      </c>
      <c r="I230" t="s">
        <v>151</v>
      </c>
      <c r="J230" t="s">
        <v>38</v>
      </c>
      <c r="K230" t="s">
        <v>39</v>
      </c>
      <c r="L230">
        <v>4</v>
      </c>
      <c r="M230" t="s">
        <v>40</v>
      </c>
      <c r="N230">
        <v>3</v>
      </c>
      <c r="O230" s="4">
        <v>0</v>
      </c>
      <c r="P230">
        <v>0</v>
      </c>
      <c r="Q230" s="5" t="s">
        <v>40</v>
      </c>
      <c r="R230" s="4" t="s">
        <v>40</v>
      </c>
      <c r="S230">
        <v>0</v>
      </c>
      <c r="T230">
        <v>0</v>
      </c>
      <c r="U230">
        <v>0</v>
      </c>
      <c r="V230">
        <v>0</v>
      </c>
      <c r="W230">
        <v>0</v>
      </c>
      <c r="X230">
        <v>0</v>
      </c>
      <c r="Y230" s="5" t="s">
        <v>40</v>
      </c>
      <c r="Z230">
        <v>0</v>
      </c>
      <c r="AA230" s="5">
        <v>0</v>
      </c>
      <c r="AB230" s="5">
        <v>0</v>
      </c>
      <c r="AC230" s="5">
        <v>0</v>
      </c>
      <c r="AD230" s="5">
        <v>0</v>
      </c>
      <c r="AE230" s="5">
        <v>0</v>
      </c>
    </row>
    <row r="231">
      <c r="A231" s="2" t="str">
        <f>HYPERLINK("https://www.avito.ru/bugry/uslugi/priem_metalloloma_priem_chernogo_loma_8022965578","8022965578")</f>
      </c>
      <c r="B231" t="s">
        <v>73</v>
      </c>
      <c r="C231" t="s">
        <v>236</v>
      </c>
      <c r="D231" t="s">
        <v>237</v>
      </c>
      <c r="E231" t="s">
        <v>34</v>
      </c>
      <c r="F231" t="s">
        <v>35</v>
      </c>
      <c r="G231" t="s">
        <v>36</v>
      </c>
      <c r="H231" s="3" t="str">
        <f>HYPERLINK("https://www.avito.ru/bugry/uslugi/priem_metalloloma_priem_chernogo_loma_8022965578","Прием металлолома / Прием черного лома")</f>
      </c>
      <c r="I231" t="s">
        <v>47</v>
      </c>
      <c r="J231" t="s">
        <v>38</v>
      </c>
      <c r="K231" t="s">
        <v>39</v>
      </c>
      <c r="L231">
        <v>4</v>
      </c>
      <c r="M231" t="s">
        <v>40</v>
      </c>
      <c r="N231">
        <v>4</v>
      </c>
      <c r="O231" s="4">
        <v>0</v>
      </c>
      <c r="P231">
        <v>0</v>
      </c>
      <c r="Q231" s="5" t="s">
        <v>40</v>
      </c>
      <c r="R231" s="4" t="s">
        <v>40</v>
      </c>
      <c r="S231">
        <v>0</v>
      </c>
      <c r="T231">
        <v>0</v>
      </c>
      <c r="U231">
        <v>0</v>
      </c>
      <c r="V231">
        <v>0</v>
      </c>
      <c r="W231">
        <v>0</v>
      </c>
      <c r="X231">
        <v>0</v>
      </c>
      <c r="Y231" s="5" t="s">
        <v>40</v>
      </c>
      <c r="Z231">
        <v>0</v>
      </c>
      <c r="AA231" s="5">
        <v>0</v>
      </c>
      <c r="AB231" s="5">
        <v>0</v>
      </c>
      <c r="AC231" s="5">
        <v>0</v>
      </c>
      <c r="AD231" s="5">
        <v>0</v>
      </c>
      <c r="AE231" s="5">
        <v>0</v>
      </c>
    </row>
    <row r="232">
      <c r="A232" s="2" t="str">
        <f>HYPERLINK("https://www.avito.ru/svetogorsk/uslugi/priem_metalloloma_priem_chernogo_loma_8023006182","8023006182")</f>
      </c>
      <c r="B232" t="s">
        <v>73</v>
      </c>
      <c r="C232" t="s">
        <v>238</v>
      </c>
      <c r="D232" t="s">
        <v>238</v>
      </c>
      <c r="E232" t="s">
        <v>34</v>
      </c>
      <c r="F232" t="s">
        <v>35</v>
      </c>
      <c r="G232" t="s">
        <v>36</v>
      </c>
      <c r="H232" s="3" t="str">
        <f>HYPERLINK("https://www.avito.ru/svetogorsk/uslugi/priem_metalloloma_priem_chernogo_loma_8023006182","Прием металлолома / Прием черного лома")</f>
      </c>
      <c r="I232" t="s">
        <v>54</v>
      </c>
      <c r="J232" t="s">
        <v>38</v>
      </c>
      <c r="K232" t="s">
        <v>39</v>
      </c>
      <c r="L232">
        <v>4</v>
      </c>
      <c r="M232" t="s">
        <v>40</v>
      </c>
      <c r="N232">
        <v>4</v>
      </c>
      <c r="O232" s="4">
        <v>0</v>
      </c>
      <c r="P232">
        <v>0</v>
      </c>
      <c r="Q232" s="5" t="s">
        <v>40</v>
      </c>
      <c r="R232" s="4" t="s">
        <v>40</v>
      </c>
      <c r="S232">
        <v>0</v>
      </c>
      <c r="T232">
        <v>0</v>
      </c>
      <c r="U232">
        <v>0</v>
      </c>
      <c r="V232">
        <v>0</v>
      </c>
      <c r="W232">
        <v>0</v>
      </c>
      <c r="X232">
        <v>0</v>
      </c>
      <c r="Y232" s="5" t="s">
        <v>40</v>
      </c>
      <c r="Z232">
        <v>0</v>
      </c>
      <c r="AA232" s="5">
        <v>0</v>
      </c>
      <c r="AB232" s="5">
        <v>0</v>
      </c>
      <c r="AC232" s="5">
        <v>0</v>
      </c>
      <c r="AD232" s="5">
        <v>0</v>
      </c>
      <c r="AE232" s="5">
        <v>0</v>
      </c>
    </row>
    <row r="233">
      <c r="A233" s="2" t="str">
        <f>HYPERLINK("https://www.avito.ru/novoe_devyatkino/uslugi/priem_metalloloma_priem_chernogo_loma_8023008151","8023008151")</f>
      </c>
      <c r="B233" t="s">
        <v>73</v>
      </c>
      <c r="C233" t="s">
        <v>217</v>
      </c>
      <c r="D233" t="s">
        <v>218</v>
      </c>
      <c r="E233" t="s">
        <v>34</v>
      </c>
      <c r="F233" t="s">
        <v>35</v>
      </c>
      <c r="G233" t="s">
        <v>36</v>
      </c>
      <c r="H233" s="3" t="str">
        <f>HYPERLINK("https://www.avito.ru/novoe_devyatkino/uslugi/priem_metalloloma_priem_chernogo_loma_8023008151","Прием металлолома / Прием черного лома")</f>
      </c>
      <c r="I233" t="s">
        <v>47</v>
      </c>
      <c r="J233" t="s">
        <v>38</v>
      </c>
      <c r="K233" t="s">
        <v>39</v>
      </c>
      <c r="L233">
        <v>4</v>
      </c>
      <c r="M233" t="s">
        <v>40</v>
      </c>
      <c r="N233">
        <v>8</v>
      </c>
      <c r="O233" s="4">
        <v>0</v>
      </c>
      <c r="P233">
        <v>0</v>
      </c>
      <c r="Q233" s="5" t="s">
        <v>40</v>
      </c>
      <c r="R233" s="4" t="s">
        <v>40</v>
      </c>
      <c r="S233">
        <v>0</v>
      </c>
      <c r="T233">
        <v>0</v>
      </c>
      <c r="U233">
        <v>0</v>
      </c>
      <c r="V233">
        <v>0</v>
      </c>
      <c r="W233">
        <v>0</v>
      </c>
      <c r="X233">
        <v>0</v>
      </c>
      <c r="Y233" s="5" t="s">
        <v>40</v>
      </c>
      <c r="Z233">
        <v>0</v>
      </c>
      <c r="AA233" s="5">
        <v>0</v>
      </c>
      <c r="AB233" s="5">
        <v>0</v>
      </c>
      <c r="AC233" s="5">
        <v>0</v>
      </c>
      <c r="AD233" s="5">
        <v>0</v>
      </c>
      <c r="AE233" s="5">
        <v>0</v>
      </c>
    </row>
    <row r="234">
      <c r="A234" s="2" t="str">
        <f>HYPERLINK("https://www.avito.ru/pestovo/uslugi/priem_metalloloma_vyvoz_metalloloma_8023017038","8023017038")</f>
      </c>
      <c r="B234" t="s">
        <v>48</v>
      </c>
      <c r="C234" t="s">
        <v>130</v>
      </c>
      <c r="D234" t="s">
        <v>131</v>
      </c>
      <c r="E234" t="s">
        <v>34</v>
      </c>
      <c r="F234" t="s">
        <v>35</v>
      </c>
      <c r="G234" t="s">
        <v>36</v>
      </c>
      <c r="H234" s="3" t="str">
        <f>HYPERLINK("https://www.avito.ru/pestovo/uslugi/priem_metalloloma_vyvoz_metalloloma_8023017038","Прием металлолома/ Вывоз металлолома")</f>
      </c>
      <c r="I234" t="s">
        <v>78</v>
      </c>
      <c r="J234" t="s">
        <v>38</v>
      </c>
      <c r="K234" t="s">
        <v>39</v>
      </c>
      <c r="L234">
        <v>4</v>
      </c>
      <c r="M234" t="s">
        <v>40</v>
      </c>
      <c r="N234">
        <v>13</v>
      </c>
      <c r="O234" s="4">
        <v>0</v>
      </c>
      <c r="P234">
        <v>0</v>
      </c>
      <c r="Q234" s="5" t="s">
        <v>40</v>
      </c>
      <c r="R234" s="4" t="s">
        <v>40</v>
      </c>
      <c r="S234">
        <v>0</v>
      </c>
      <c r="T234">
        <v>0</v>
      </c>
      <c r="U234">
        <v>0</v>
      </c>
      <c r="V234">
        <v>0</v>
      </c>
      <c r="W234">
        <v>0</v>
      </c>
      <c r="X234">
        <v>0</v>
      </c>
      <c r="Y234" s="5" t="s">
        <v>40</v>
      </c>
      <c r="Z234">
        <v>0</v>
      </c>
      <c r="AA234" s="5">
        <v>0</v>
      </c>
      <c r="AB234" s="5">
        <v>0</v>
      </c>
      <c r="AC234" s="5">
        <v>0</v>
      </c>
      <c r="AD234" s="5">
        <v>0</v>
      </c>
      <c r="AE234" s="5">
        <v>0</v>
      </c>
    </row>
    <row r="235">
      <c r="A235" s="2" t="str">
        <f>HYPERLINK("https://www.avito.ru/leningradskaya_oblast_otradnoe/uslugi/priem_loma_tsvetnyh_metallov_8023026756","8023026756")</f>
      </c>
      <c r="B235" t="s">
        <v>73</v>
      </c>
      <c r="C235" t="s">
        <v>239</v>
      </c>
      <c r="D235" t="s">
        <v>240</v>
      </c>
      <c r="E235" t="s">
        <v>34</v>
      </c>
      <c r="F235" t="s">
        <v>35</v>
      </c>
      <c r="G235" t="s">
        <v>36</v>
      </c>
      <c r="H235" s="3" t="str">
        <f>HYPERLINK("https://www.avito.ru/leningradskaya_oblast_otradnoe/uslugi/priem_loma_tsvetnyh_metallov_8023026756","Прием лома цветных металлов")</f>
      </c>
      <c r="I235" t="s">
        <v>47</v>
      </c>
      <c r="J235" t="s">
        <v>38</v>
      </c>
      <c r="K235" t="s">
        <v>39</v>
      </c>
      <c r="L235">
        <v>4</v>
      </c>
      <c r="M235" t="s">
        <v>40</v>
      </c>
      <c r="N235">
        <v>4</v>
      </c>
      <c r="O235" s="4">
        <v>0</v>
      </c>
      <c r="P235">
        <v>0</v>
      </c>
      <c r="Q235" s="5" t="s">
        <v>40</v>
      </c>
      <c r="R235" s="4" t="s">
        <v>40</v>
      </c>
      <c r="S235">
        <v>0</v>
      </c>
      <c r="T235">
        <v>0</v>
      </c>
      <c r="U235">
        <v>0</v>
      </c>
      <c r="V235">
        <v>0</v>
      </c>
      <c r="W235">
        <v>0</v>
      </c>
      <c r="X235">
        <v>0</v>
      </c>
      <c r="Y235" s="5" t="s">
        <v>40</v>
      </c>
      <c r="Z235">
        <v>0</v>
      </c>
      <c r="AA235" s="5">
        <v>0</v>
      </c>
      <c r="AB235" s="5">
        <v>0</v>
      </c>
      <c r="AC235" s="5">
        <v>0</v>
      </c>
      <c r="AD235" s="5">
        <v>0</v>
      </c>
      <c r="AE235" s="5">
        <v>0</v>
      </c>
    </row>
    <row r="236">
      <c r="A236" s="2" t="str">
        <f>HYPERLINK("https://www.avito.ru/leningradskaya_oblast_primorsk/uslugi/priem_metalloloma_priem_chernogo_loma_8023035534","8023035534")</f>
      </c>
      <c r="B236" t="s">
        <v>73</v>
      </c>
      <c r="C236" t="s">
        <v>230</v>
      </c>
      <c r="D236" t="s">
        <v>231</v>
      </c>
      <c r="E236" t="s">
        <v>34</v>
      </c>
      <c r="F236" t="s">
        <v>35</v>
      </c>
      <c r="G236" t="s">
        <v>36</v>
      </c>
      <c r="H236" s="3" t="str">
        <f>HYPERLINK("https://www.avito.ru/leningradskaya_oblast_primorsk/uslugi/priem_metalloloma_priem_chernogo_loma_8023035534","Прием металлолома / Прием черного лома")</f>
      </c>
      <c r="I236" t="s">
        <v>72</v>
      </c>
      <c r="J236" t="s">
        <v>38</v>
      </c>
      <c r="K236" t="s">
        <v>39</v>
      </c>
      <c r="L236">
        <v>4</v>
      </c>
      <c r="M236" t="s">
        <v>40</v>
      </c>
      <c r="N236">
        <v>4</v>
      </c>
      <c r="O236" s="4">
        <v>0</v>
      </c>
      <c r="P236">
        <v>0</v>
      </c>
      <c r="Q236" s="5" t="s">
        <v>40</v>
      </c>
      <c r="R236" s="4" t="s">
        <v>40</v>
      </c>
      <c r="S236">
        <v>0</v>
      </c>
      <c r="T236">
        <v>0</v>
      </c>
      <c r="U236">
        <v>0</v>
      </c>
      <c r="V236">
        <v>0</v>
      </c>
      <c r="W236">
        <v>0</v>
      </c>
      <c r="X236">
        <v>0</v>
      </c>
      <c r="Y236" s="5" t="s">
        <v>40</v>
      </c>
      <c r="Z236">
        <v>0</v>
      </c>
      <c r="AA236" s="5">
        <v>0</v>
      </c>
      <c r="AB236" s="5">
        <v>0</v>
      </c>
      <c r="AC236" s="5">
        <v>0</v>
      </c>
      <c r="AD236" s="5">
        <v>0</v>
      </c>
      <c r="AE236" s="5">
        <v>0</v>
      </c>
    </row>
    <row r="237">
      <c r="A237" s="2" t="str">
        <f>HYPERLINK("https://www.avito.ru/pikalevo/uslugi/priem_i_vyvoz_metalloloma_samovyvoz_loma_8023056151","8023056151")</f>
      </c>
      <c r="B237" t="s">
        <v>73</v>
      </c>
      <c r="C237" t="s">
        <v>102</v>
      </c>
      <c r="D237" t="s">
        <v>103</v>
      </c>
      <c r="E237" t="s">
        <v>34</v>
      </c>
      <c r="F237" t="s">
        <v>35</v>
      </c>
      <c r="G237" t="s">
        <v>36</v>
      </c>
      <c r="H237" s="3" t="str">
        <f>HYPERLINK("https://www.avito.ru/pikalevo/uslugi/priem_i_vyvoz_metalloloma_samovyvoz_loma_8023056151","Прием и вывоз металлолома / Самовывоз лома")</f>
      </c>
      <c r="I237" t="s">
        <v>151</v>
      </c>
      <c r="J237" t="s">
        <v>38</v>
      </c>
      <c r="K237" t="s">
        <v>39</v>
      </c>
      <c r="L237">
        <v>4</v>
      </c>
      <c r="M237" t="s">
        <v>40</v>
      </c>
      <c r="N237">
        <v>8</v>
      </c>
      <c r="O237" s="4">
        <v>0</v>
      </c>
      <c r="P237">
        <v>0</v>
      </c>
      <c r="Q237" s="5" t="s">
        <v>40</v>
      </c>
      <c r="R237" s="4" t="s">
        <v>40</v>
      </c>
      <c r="S237">
        <v>0</v>
      </c>
      <c r="T237">
        <v>0</v>
      </c>
      <c r="U237">
        <v>0</v>
      </c>
      <c r="V237">
        <v>0</v>
      </c>
      <c r="W237">
        <v>0</v>
      </c>
      <c r="X237">
        <v>0</v>
      </c>
      <c r="Y237" s="5" t="s">
        <v>40</v>
      </c>
      <c r="Z237">
        <v>0</v>
      </c>
      <c r="AA237" s="5">
        <v>0</v>
      </c>
      <c r="AB237" s="5">
        <v>0</v>
      </c>
      <c r="AC237" s="5">
        <v>0</v>
      </c>
      <c r="AD237" s="5">
        <v>0</v>
      </c>
      <c r="AE237" s="5">
        <v>0</v>
      </c>
    </row>
    <row r="238">
      <c r="A238" s="2" t="str">
        <f>HYPERLINK("https://www.avito.ru/kamennogorsk/uslugi/priem_tsvetnogo_metalloloma_8023067467","8023067467")</f>
      </c>
      <c r="B238" t="s">
        <v>73</v>
      </c>
      <c r="C238" t="s">
        <v>234</v>
      </c>
      <c r="D238" t="s">
        <v>235</v>
      </c>
      <c r="E238" t="s">
        <v>34</v>
      </c>
      <c r="F238" t="s">
        <v>35</v>
      </c>
      <c r="G238" t="s">
        <v>36</v>
      </c>
      <c r="H238" s="3" t="str">
        <f>HYPERLINK("https://www.avito.ru/kamennogorsk/uslugi/priem_tsvetnogo_metalloloma_8023067467","Прием цветного металлолома")</f>
      </c>
      <c r="I238" t="s">
        <v>37</v>
      </c>
      <c r="J238" t="s">
        <v>38</v>
      </c>
      <c r="K238" t="s">
        <v>39</v>
      </c>
      <c r="L238">
        <v>4</v>
      </c>
      <c r="M238" t="s">
        <v>40</v>
      </c>
      <c r="N238">
        <v>4</v>
      </c>
      <c r="O238" s="4">
        <v>0</v>
      </c>
      <c r="P238">
        <v>0</v>
      </c>
      <c r="Q238" s="5" t="s">
        <v>40</v>
      </c>
      <c r="R238" s="4" t="s">
        <v>40</v>
      </c>
      <c r="S238">
        <v>0</v>
      </c>
      <c r="T238">
        <v>0</v>
      </c>
      <c r="U238">
        <v>0</v>
      </c>
      <c r="V238">
        <v>0</v>
      </c>
      <c r="W238">
        <v>0</v>
      </c>
      <c r="X238">
        <v>0</v>
      </c>
      <c r="Y238" s="5" t="s">
        <v>40</v>
      </c>
      <c r="Z238">
        <v>0</v>
      </c>
      <c r="AA238" s="5">
        <v>0</v>
      </c>
      <c r="AB238" s="5">
        <v>0</v>
      </c>
      <c r="AC238" s="5">
        <v>0</v>
      </c>
      <c r="AD238" s="5">
        <v>0</v>
      </c>
      <c r="AE238" s="5">
        <v>0</v>
      </c>
    </row>
    <row r="239">
      <c r="A239" s="2" t="str">
        <f>HYPERLINK("https://www.avito.ru/gostilitsy/uslugi/priem_i_vyvoz_metalloloma_samovyvoz_loma_8023104068","8023104068")</f>
      </c>
      <c r="B239" t="s">
        <v>73</v>
      </c>
      <c r="C239" t="s">
        <v>189</v>
      </c>
      <c r="D239" t="s">
        <v>190</v>
      </c>
      <c r="E239" t="s">
        <v>34</v>
      </c>
      <c r="F239" t="s">
        <v>35</v>
      </c>
      <c r="G239" t="s">
        <v>36</v>
      </c>
      <c r="H239" s="3" t="str">
        <f>HYPERLINK("https://www.avito.ru/gostilitsy/uslugi/priem_i_vyvoz_metalloloma_samovyvoz_loma_8023104068","Прием и вывоз металлолома / Самовывоз лома")</f>
      </c>
      <c r="I239" t="s">
        <v>54</v>
      </c>
      <c r="J239" t="s">
        <v>38</v>
      </c>
      <c r="K239" t="s">
        <v>39</v>
      </c>
      <c r="L239">
        <v>4</v>
      </c>
      <c r="M239" t="s">
        <v>40</v>
      </c>
      <c r="N239">
        <v>5</v>
      </c>
      <c r="O239" s="4">
        <v>0</v>
      </c>
      <c r="P239">
        <v>0</v>
      </c>
      <c r="Q239" s="5" t="s">
        <v>40</v>
      </c>
      <c r="R239" s="4" t="s">
        <v>40</v>
      </c>
      <c r="S239">
        <v>0</v>
      </c>
      <c r="T239">
        <v>0</v>
      </c>
      <c r="U239">
        <v>0</v>
      </c>
      <c r="V239">
        <v>0</v>
      </c>
      <c r="W239">
        <v>0</v>
      </c>
      <c r="X239">
        <v>0</v>
      </c>
      <c r="Y239" s="5" t="s">
        <v>40</v>
      </c>
      <c r="Z239">
        <v>0</v>
      </c>
      <c r="AA239" s="5">
        <v>0</v>
      </c>
      <c r="AB239" s="5">
        <v>0</v>
      </c>
      <c r="AC239" s="5">
        <v>0</v>
      </c>
      <c r="AD239" s="5">
        <v>0</v>
      </c>
      <c r="AE239" s="5">
        <v>0</v>
      </c>
    </row>
    <row r="240">
      <c r="A240" s="2" t="str">
        <f>HYPERLINK("https://www.avito.ru/kamennogorsk/uslugi/priem_metalla_demontazh_priem_metalloloma_8023119990","8023119990")</f>
      </c>
      <c r="B240" t="s">
        <v>73</v>
      </c>
      <c r="C240" t="s">
        <v>234</v>
      </c>
      <c r="D240" t="s">
        <v>235</v>
      </c>
      <c r="E240" t="s">
        <v>34</v>
      </c>
      <c r="F240" t="s">
        <v>35</v>
      </c>
      <c r="G240" t="s">
        <v>36</v>
      </c>
      <c r="H240" s="3" t="str">
        <f>HYPERLINK("https://www.avito.ru/kamennogorsk/uslugi/priem_metalla_demontazh_priem_metalloloma_8023119990","Прием металла / Демонтаж / Прием металлолома")</f>
      </c>
      <c r="I240" t="s">
        <v>95</v>
      </c>
      <c r="J240" t="s">
        <v>38</v>
      </c>
      <c r="K240" t="s">
        <v>39</v>
      </c>
      <c r="L240">
        <v>4</v>
      </c>
      <c r="M240" t="s">
        <v>40</v>
      </c>
      <c r="N240">
        <v>6</v>
      </c>
      <c r="O240" s="4">
        <v>0</v>
      </c>
      <c r="P240">
        <v>0</v>
      </c>
      <c r="Q240" s="5" t="s">
        <v>40</v>
      </c>
      <c r="R240" s="4" t="s">
        <v>40</v>
      </c>
      <c r="S240">
        <v>0</v>
      </c>
      <c r="T240">
        <v>0</v>
      </c>
      <c r="U240">
        <v>0</v>
      </c>
      <c r="V240">
        <v>0</v>
      </c>
      <c r="W240">
        <v>0</v>
      </c>
      <c r="X240">
        <v>0</v>
      </c>
      <c r="Y240" s="5" t="s">
        <v>40</v>
      </c>
      <c r="Z240">
        <v>0</v>
      </c>
      <c r="AA240" s="5">
        <v>0</v>
      </c>
      <c r="AB240" s="5">
        <v>0</v>
      </c>
      <c r="AC240" s="5">
        <v>0</v>
      </c>
      <c r="AD240" s="5">
        <v>0</v>
      </c>
      <c r="AE240" s="5">
        <v>0</v>
      </c>
    </row>
    <row r="241">
      <c r="A241" s="2" t="str">
        <f>HYPERLINK("https://www.avito.ru/yanino-1/uslugi/priem_metalloloma_priem_tsvetnogo_loma_8023124809","8023124809")</f>
      </c>
      <c r="B241" t="s">
        <v>73</v>
      </c>
      <c r="C241" t="s">
        <v>215</v>
      </c>
      <c r="D241" t="s">
        <v>216</v>
      </c>
      <c r="E241" t="s">
        <v>34</v>
      </c>
      <c r="F241" t="s">
        <v>35</v>
      </c>
      <c r="G241" t="s">
        <v>36</v>
      </c>
      <c r="H241" s="3" t="str">
        <f>HYPERLINK("https://www.avito.ru/yanino-1/uslugi/priem_metalloloma_priem_tsvetnogo_loma_8023124809","Прием металлолома / Прием цветного лома")</f>
      </c>
      <c r="I241" t="s">
        <v>41</v>
      </c>
      <c r="J241" t="s">
        <v>38</v>
      </c>
      <c r="K241" t="s">
        <v>39</v>
      </c>
      <c r="L241">
        <v>4</v>
      </c>
      <c r="M241" t="s">
        <v>40</v>
      </c>
      <c r="N241">
        <v>4</v>
      </c>
      <c r="O241" s="4">
        <v>0</v>
      </c>
      <c r="P241">
        <v>0</v>
      </c>
      <c r="Q241" s="5" t="s">
        <v>40</v>
      </c>
      <c r="R241" s="4" t="s">
        <v>40</v>
      </c>
      <c r="S241">
        <v>0</v>
      </c>
      <c r="T241">
        <v>0</v>
      </c>
      <c r="U241">
        <v>0</v>
      </c>
      <c r="V241">
        <v>0</v>
      </c>
      <c r="W241">
        <v>0</v>
      </c>
      <c r="X241">
        <v>0</v>
      </c>
      <c r="Y241" s="5" t="s">
        <v>40</v>
      </c>
      <c r="Z241">
        <v>0</v>
      </c>
      <c r="AA241" s="5">
        <v>0</v>
      </c>
      <c r="AB241" s="5">
        <v>0</v>
      </c>
      <c r="AC241" s="5">
        <v>0</v>
      </c>
      <c r="AD241" s="5">
        <v>0</v>
      </c>
      <c r="AE241" s="5">
        <v>0</v>
      </c>
    </row>
    <row r="242">
      <c r="A242" s="2" t="str">
        <f>HYPERLINK("https://www.avito.ru/krasnaya_dolina/uslugi/priem_metalla_sdat_lom_vyvoz_loma_8023144174","8023144174")</f>
      </c>
      <c r="B242" t="s">
        <v>73</v>
      </c>
      <c r="C242" t="s">
        <v>219</v>
      </c>
      <c r="D242" t="s">
        <v>220</v>
      </c>
      <c r="E242" t="s">
        <v>34</v>
      </c>
      <c r="F242" t="s">
        <v>35</v>
      </c>
      <c r="G242" t="s">
        <v>36</v>
      </c>
      <c r="H242" s="3" t="str">
        <f>HYPERLINK("https://www.avito.ru/krasnaya_dolina/uslugi/priem_metalla_sdat_lom_vyvoz_loma_8023144174","Приём металла /Сдать лом / Вывоз лома")</f>
      </c>
      <c r="I242" t="s">
        <v>151</v>
      </c>
      <c r="J242" t="s">
        <v>38</v>
      </c>
      <c r="K242" t="s">
        <v>39</v>
      </c>
      <c r="L242">
        <v>4</v>
      </c>
      <c r="M242" t="s">
        <v>40</v>
      </c>
      <c r="N242">
        <v>5</v>
      </c>
      <c r="O242" s="4">
        <v>0</v>
      </c>
      <c r="P242">
        <v>0</v>
      </c>
      <c r="Q242" s="5" t="s">
        <v>40</v>
      </c>
      <c r="R242" s="4" t="s">
        <v>40</v>
      </c>
      <c r="S242">
        <v>0</v>
      </c>
      <c r="T242">
        <v>0</v>
      </c>
      <c r="U242">
        <v>0</v>
      </c>
      <c r="V242">
        <v>0</v>
      </c>
      <c r="W242">
        <v>0</v>
      </c>
      <c r="X242">
        <v>0</v>
      </c>
      <c r="Y242" s="5" t="s">
        <v>40</v>
      </c>
      <c r="Z242">
        <v>0</v>
      </c>
      <c r="AA242" s="5">
        <v>0</v>
      </c>
      <c r="AB242" s="5">
        <v>0</v>
      </c>
      <c r="AC242" s="5">
        <v>0</v>
      </c>
      <c r="AD242" s="5">
        <v>0</v>
      </c>
      <c r="AE242" s="5">
        <v>0</v>
      </c>
    </row>
    <row r="243">
      <c r="A243" s="2" t="str">
        <f>HYPERLINK("https://www.avito.ru/sankt-peterburg/uslugi/priem_metalloloma_priem_chernogo_loma_opt_8023153196","8023153196")</f>
      </c>
      <c r="B243" t="s">
        <v>55</v>
      </c>
      <c r="C243" t="s">
        <v>56</v>
      </c>
      <c r="D243" t="s">
        <v>193</v>
      </c>
      <c r="E243" t="s">
        <v>34</v>
      </c>
      <c r="F243" t="s">
        <v>35</v>
      </c>
      <c r="G243" t="s">
        <v>36</v>
      </c>
      <c r="H243" s="3" t="str">
        <f>HYPERLINK("https://www.avito.ru/sankt-peterburg/uslugi/priem_metalloloma_priem_chernogo_loma_opt_8023153196","Прием металлолома / Прием черного лома опт")</f>
      </c>
      <c r="I243" t="s">
        <v>72</v>
      </c>
      <c r="J243" t="s">
        <v>38</v>
      </c>
      <c r="K243" t="s">
        <v>39</v>
      </c>
      <c r="L243">
        <v>4</v>
      </c>
      <c r="M243" t="s">
        <v>40</v>
      </c>
      <c r="N243">
        <v>9</v>
      </c>
      <c r="O243" s="4">
        <v>0</v>
      </c>
      <c r="P243">
        <v>0</v>
      </c>
      <c r="Q243" s="5" t="s">
        <v>40</v>
      </c>
      <c r="R243" s="4" t="s">
        <v>40</v>
      </c>
      <c r="S243">
        <v>0</v>
      </c>
      <c r="T243">
        <v>0</v>
      </c>
      <c r="U243">
        <v>0</v>
      </c>
      <c r="V243">
        <v>0</v>
      </c>
      <c r="W243">
        <v>0</v>
      </c>
      <c r="X243">
        <v>0</v>
      </c>
      <c r="Y243" s="5" t="s">
        <v>40</v>
      </c>
      <c r="Z243">
        <v>0</v>
      </c>
      <c r="AA243" s="5">
        <v>0</v>
      </c>
      <c r="AB243" s="5">
        <v>0</v>
      </c>
      <c r="AC243" s="5">
        <v>0</v>
      </c>
      <c r="AD243" s="5">
        <v>0</v>
      </c>
      <c r="AE243" s="5">
        <v>0</v>
      </c>
    </row>
    <row r="244">
      <c r="A244" s="2" t="str">
        <f>HYPERLINK("https://www.avito.ru/novoselie/uslugi/priem_loma_priem_tsvetnogo_loma_priem_chermeta_8023160412","8023160412")</f>
      </c>
      <c r="B244" t="s">
        <v>73</v>
      </c>
      <c r="C244" t="s">
        <v>232</v>
      </c>
      <c r="D244" t="s">
        <v>233</v>
      </c>
      <c r="E244" t="s">
        <v>34</v>
      </c>
      <c r="F244" t="s">
        <v>35</v>
      </c>
      <c r="G244" t="s">
        <v>36</v>
      </c>
      <c r="H244" s="3" t="str">
        <f>HYPERLINK("https://www.avito.ru/novoselie/uslugi/priem_loma_priem_tsvetnogo_loma_priem_chermeta_8023160412","Прием лома / Прием цветного лома / Прием чермета")</f>
      </c>
      <c r="I244" t="s">
        <v>95</v>
      </c>
      <c r="J244" t="s">
        <v>38</v>
      </c>
      <c r="K244" t="s">
        <v>39</v>
      </c>
      <c r="L244">
        <v>4</v>
      </c>
      <c r="M244" t="s">
        <v>40</v>
      </c>
      <c r="N244">
        <v>6</v>
      </c>
      <c r="O244" s="4">
        <v>0</v>
      </c>
      <c r="P244">
        <v>0</v>
      </c>
      <c r="Q244" s="5" t="s">
        <v>40</v>
      </c>
      <c r="R244" s="4" t="s">
        <v>40</v>
      </c>
      <c r="S244">
        <v>0</v>
      </c>
      <c r="T244">
        <v>0</v>
      </c>
      <c r="U244">
        <v>0</v>
      </c>
      <c r="V244">
        <v>0</v>
      </c>
      <c r="W244">
        <v>0</v>
      </c>
      <c r="X244">
        <v>0</v>
      </c>
      <c r="Y244" s="5" t="s">
        <v>40</v>
      </c>
      <c r="Z244">
        <v>0</v>
      </c>
      <c r="AA244" s="5">
        <v>0</v>
      </c>
      <c r="AB244" s="5">
        <v>0</v>
      </c>
      <c r="AC244" s="5">
        <v>0</v>
      </c>
      <c r="AD244" s="5">
        <v>0</v>
      </c>
      <c r="AE244" s="5">
        <v>0</v>
      </c>
    </row>
    <row r="245">
      <c r="A245" s="2" t="str">
        <f>HYPERLINK("https://www.avito.ru/syasstroy/uslugi/priem_metalloloma_priem_chernogo_loma_opt_8023160441","8023160441")</f>
      </c>
      <c r="B245" t="s">
        <v>73</v>
      </c>
      <c r="C245" t="s">
        <v>223</v>
      </c>
      <c r="D245" t="s">
        <v>224</v>
      </c>
      <c r="E245" t="s">
        <v>34</v>
      </c>
      <c r="F245" t="s">
        <v>35</v>
      </c>
      <c r="G245" t="s">
        <v>36</v>
      </c>
      <c r="H245" s="3" t="str">
        <f>HYPERLINK("https://www.avito.ru/syasstroy/uslugi/priem_metalloloma_priem_chernogo_loma_opt_8023160441","Прием металлолома / Прием черного лома опт")</f>
      </c>
      <c r="I245" t="s">
        <v>65</v>
      </c>
      <c r="J245" t="s">
        <v>38</v>
      </c>
      <c r="K245" t="s">
        <v>39</v>
      </c>
      <c r="L245">
        <v>4</v>
      </c>
      <c r="M245" t="s">
        <v>40</v>
      </c>
      <c r="N245">
        <v>3</v>
      </c>
      <c r="O245" s="4">
        <v>0</v>
      </c>
      <c r="P245">
        <v>0</v>
      </c>
      <c r="Q245" s="5" t="s">
        <v>40</v>
      </c>
      <c r="R245" s="4" t="s">
        <v>40</v>
      </c>
      <c r="S245">
        <v>0</v>
      </c>
      <c r="T245">
        <v>0</v>
      </c>
      <c r="U245">
        <v>0</v>
      </c>
      <c r="V245">
        <v>0</v>
      </c>
      <c r="W245">
        <v>0</v>
      </c>
      <c r="X245">
        <v>0</v>
      </c>
      <c r="Y245" s="5" t="s">
        <v>40</v>
      </c>
      <c r="Z245">
        <v>0</v>
      </c>
      <c r="AA245" s="5">
        <v>0</v>
      </c>
      <c r="AB245" s="5">
        <v>0</v>
      </c>
      <c r="AC245" s="5">
        <v>0</v>
      </c>
      <c r="AD245" s="5">
        <v>0</v>
      </c>
      <c r="AE245" s="5">
        <v>0</v>
      </c>
    </row>
    <row r="246">
      <c r="A246" s="2" t="str">
        <f>HYPERLINK("https://www.avito.ru/leningradskaya_oblast_otradnoe/uslugi/priem_loma_priem_tsvetnogo_loma_priem_chermeta_8023190373","8023190373")</f>
      </c>
      <c r="B246" t="s">
        <v>73</v>
      </c>
      <c r="C246" t="s">
        <v>239</v>
      </c>
      <c r="D246" t="s">
        <v>240</v>
      </c>
      <c r="E246" t="s">
        <v>34</v>
      </c>
      <c r="F246" t="s">
        <v>35</v>
      </c>
      <c r="G246" t="s">
        <v>36</v>
      </c>
      <c r="H246" s="3" t="str">
        <f>HYPERLINK("https://www.avito.ru/leningradskaya_oblast_otradnoe/uslugi/priem_loma_priem_tsvetnogo_loma_priem_chermeta_8023190373","Прием лома / Прием цветного лома / Прием чермета")</f>
      </c>
      <c r="I246" t="s">
        <v>54</v>
      </c>
      <c r="J246" t="s">
        <v>38</v>
      </c>
      <c r="K246" t="s">
        <v>39</v>
      </c>
      <c r="L246">
        <v>4</v>
      </c>
      <c r="M246" t="s">
        <v>40</v>
      </c>
      <c r="N246">
        <v>1</v>
      </c>
      <c r="O246" s="4">
        <v>0</v>
      </c>
      <c r="P246">
        <v>0</v>
      </c>
      <c r="Q246" s="5" t="s">
        <v>40</v>
      </c>
      <c r="R246" s="4" t="s">
        <v>40</v>
      </c>
      <c r="S246">
        <v>0</v>
      </c>
      <c r="T246">
        <v>0</v>
      </c>
      <c r="U246">
        <v>0</v>
      </c>
      <c r="V246">
        <v>0</v>
      </c>
      <c r="W246">
        <v>0</v>
      </c>
      <c r="X246">
        <v>0</v>
      </c>
      <c r="Y246" s="5" t="s">
        <v>40</v>
      </c>
      <c r="Z246">
        <v>0</v>
      </c>
      <c r="AA246" s="5">
        <v>0</v>
      </c>
      <c r="AB246" s="5">
        <v>0</v>
      </c>
      <c r="AC246" s="5">
        <v>0</v>
      </c>
      <c r="AD246" s="5">
        <v>0</v>
      </c>
      <c r="AE246" s="5">
        <v>0</v>
      </c>
    </row>
    <row r="247">
      <c r="A247" s="2" t="str">
        <f>HYPERLINK("https://www.avito.ru/voloshovo/uslugi/priem_tsvetnogo_metalloloma_8023193329","8023193329")</f>
      </c>
      <c r="B247" t="s">
        <v>73</v>
      </c>
      <c r="C247" t="s">
        <v>241</v>
      </c>
      <c r="D247" t="s">
        <v>242</v>
      </c>
      <c r="E247" t="s">
        <v>34</v>
      </c>
      <c r="F247" t="s">
        <v>35</v>
      </c>
      <c r="G247" t="s">
        <v>36</v>
      </c>
      <c r="H247" s="3" t="str">
        <f>HYPERLINK("https://www.avito.ru/voloshovo/uslugi/priem_tsvetnogo_metalloloma_8023193329","Прием цветного металлолома")</f>
      </c>
      <c r="I247" t="s">
        <v>41</v>
      </c>
      <c r="J247" t="s">
        <v>38</v>
      </c>
      <c r="K247" t="s">
        <v>39</v>
      </c>
      <c r="L247">
        <v>4</v>
      </c>
      <c r="M247" t="s">
        <v>40</v>
      </c>
      <c r="N247">
        <v>1</v>
      </c>
      <c r="O247" s="4">
        <v>0</v>
      </c>
      <c r="P247">
        <v>0</v>
      </c>
      <c r="Q247" s="5" t="s">
        <v>40</v>
      </c>
      <c r="R247" s="4" t="s">
        <v>40</v>
      </c>
      <c r="S247">
        <v>0</v>
      </c>
      <c r="T247">
        <v>0</v>
      </c>
      <c r="U247">
        <v>0</v>
      </c>
      <c r="V247">
        <v>0</v>
      </c>
      <c r="W247">
        <v>0</v>
      </c>
      <c r="X247">
        <v>0</v>
      </c>
      <c r="Y247" s="5" t="s">
        <v>40</v>
      </c>
      <c r="Z247">
        <v>0</v>
      </c>
      <c r="AA247" s="5">
        <v>0</v>
      </c>
      <c r="AB247" s="5">
        <v>0</v>
      </c>
      <c r="AC247" s="5">
        <v>0</v>
      </c>
      <c r="AD247" s="5">
        <v>0</v>
      </c>
      <c r="AE247" s="5">
        <v>0</v>
      </c>
    </row>
    <row r="248">
      <c r="A248" s="2" t="str">
        <f>HYPERLINK("https://www.avito.ru/kommynary/uslugi/priem_metalloloma_skupka_metalla_8023196052","8023196052")</f>
      </c>
      <c r="B248" t="s">
        <v>73</v>
      </c>
      <c r="C248" t="s">
        <v>171</v>
      </c>
      <c r="D248" t="s">
        <v>172</v>
      </c>
      <c r="E248" t="s">
        <v>34</v>
      </c>
      <c r="F248" t="s">
        <v>35</v>
      </c>
      <c r="G248" t="s">
        <v>36</v>
      </c>
      <c r="H248" s="3" t="str">
        <f>HYPERLINK("https://www.avito.ru/kommynary/uslugi/priem_metalloloma_skupka_metalla_8023196052","Прием металлолома / Скупка металла")</f>
      </c>
      <c r="I248" t="s">
        <v>54</v>
      </c>
      <c r="J248" t="s">
        <v>38</v>
      </c>
      <c r="K248" t="s">
        <v>39</v>
      </c>
      <c r="L248">
        <v>4</v>
      </c>
      <c r="M248" t="s">
        <v>40</v>
      </c>
      <c r="N248">
        <v>4</v>
      </c>
      <c r="O248" s="4">
        <v>0</v>
      </c>
      <c r="P248">
        <v>0</v>
      </c>
      <c r="Q248" s="5" t="s">
        <v>40</v>
      </c>
      <c r="R248" s="4" t="s">
        <v>40</v>
      </c>
      <c r="S248">
        <v>0</v>
      </c>
      <c r="T248">
        <v>0</v>
      </c>
      <c r="U248">
        <v>0</v>
      </c>
      <c r="V248">
        <v>0</v>
      </c>
      <c r="W248">
        <v>0</v>
      </c>
      <c r="X248">
        <v>0</v>
      </c>
      <c r="Y248" s="5" t="s">
        <v>40</v>
      </c>
      <c r="Z248">
        <v>0</v>
      </c>
      <c r="AA248" s="5">
        <v>0</v>
      </c>
      <c r="AB248" s="5">
        <v>0</v>
      </c>
      <c r="AC248" s="5">
        <v>0</v>
      </c>
      <c r="AD248" s="5">
        <v>0</v>
      </c>
      <c r="AE248" s="5">
        <v>0</v>
      </c>
    </row>
    <row r="249">
      <c r="A249" s="2" t="str">
        <f>HYPERLINK("https://www.avito.ru/novoselie/uslugi/priem_loma_tsvetnyh_metallov_8023271885","8023271885")</f>
      </c>
      <c r="B249" t="s">
        <v>73</v>
      </c>
      <c r="C249" t="s">
        <v>232</v>
      </c>
      <c r="D249" t="s">
        <v>233</v>
      </c>
      <c r="E249" t="s">
        <v>34</v>
      </c>
      <c r="F249" t="s">
        <v>35</v>
      </c>
      <c r="G249" t="s">
        <v>36</v>
      </c>
      <c r="H249" s="3" t="str">
        <f>HYPERLINK("https://www.avito.ru/novoselie/uslugi/priem_loma_tsvetnyh_metallov_8023271885","Прием лома цветных металлов")</f>
      </c>
      <c r="I249" t="s">
        <v>37</v>
      </c>
      <c r="J249" t="s">
        <v>38</v>
      </c>
      <c r="K249" t="s">
        <v>39</v>
      </c>
      <c r="L249">
        <v>4</v>
      </c>
      <c r="M249" t="s">
        <v>40</v>
      </c>
      <c r="N249">
        <v>3</v>
      </c>
      <c r="O249" s="4">
        <v>0</v>
      </c>
      <c r="P249">
        <v>0</v>
      </c>
      <c r="Q249" s="5" t="s">
        <v>40</v>
      </c>
      <c r="R249" s="4" t="s">
        <v>40</v>
      </c>
      <c r="S249">
        <v>0</v>
      </c>
      <c r="T249">
        <v>0</v>
      </c>
      <c r="U249">
        <v>0</v>
      </c>
      <c r="V249">
        <v>0</v>
      </c>
      <c r="W249">
        <v>0</v>
      </c>
      <c r="X249">
        <v>0</v>
      </c>
      <c r="Y249" s="5" t="s">
        <v>40</v>
      </c>
      <c r="Z249">
        <v>0</v>
      </c>
      <c r="AA249" s="5">
        <v>0</v>
      </c>
      <c r="AB249" s="5">
        <v>0</v>
      </c>
      <c r="AC249" s="5">
        <v>0</v>
      </c>
      <c r="AD249" s="5">
        <v>0</v>
      </c>
      <c r="AE249" s="5">
        <v>0</v>
      </c>
    </row>
    <row r="250">
      <c r="A250" s="2" t="str">
        <f>HYPERLINK("https://www.avito.ru/sankt-peterburg/uslugi/priem_metalloloma_skupka_metalla_8023272261","8023272261")</f>
      </c>
      <c r="B250" t="s">
        <v>55</v>
      </c>
      <c r="C250" t="s">
        <v>56</v>
      </c>
      <c r="D250" t="s">
        <v>57</v>
      </c>
      <c r="E250" t="s">
        <v>34</v>
      </c>
      <c r="F250" t="s">
        <v>35</v>
      </c>
      <c r="G250" t="s">
        <v>36</v>
      </c>
      <c r="H250" s="3" t="str">
        <f>HYPERLINK("https://www.avito.ru/sankt-peterburg/uslugi/priem_metalloloma_skupka_metalla_8023272261","Прием металлолома / Скупка металла")</f>
      </c>
      <c r="I250" t="s">
        <v>95</v>
      </c>
      <c r="J250" t="s">
        <v>96</v>
      </c>
      <c r="K250" t="s">
        <v>69</v>
      </c>
      <c r="L250">
        <v>8</v>
      </c>
      <c r="M250" t="s">
        <v>40</v>
      </c>
      <c r="N250">
        <v>19</v>
      </c>
      <c r="O250" s="4">
        <v>0</v>
      </c>
      <c r="P250">
        <v>0</v>
      </c>
      <c r="Q250" s="5" t="s">
        <v>40</v>
      </c>
      <c r="R250" s="4" t="s">
        <v>40</v>
      </c>
      <c r="S250">
        <v>0</v>
      </c>
      <c r="T250">
        <v>0</v>
      </c>
      <c r="U250">
        <v>0</v>
      </c>
      <c r="V250">
        <v>0</v>
      </c>
      <c r="W250">
        <v>0</v>
      </c>
      <c r="X250">
        <v>0</v>
      </c>
      <c r="Y250" s="5" t="s">
        <v>40</v>
      </c>
      <c r="Z250">
        <v>0</v>
      </c>
      <c r="AA250" s="5">
        <v>0</v>
      </c>
      <c r="AB250" s="5">
        <v>0</v>
      </c>
      <c r="AC250" s="5">
        <v>0</v>
      </c>
      <c r="AD250" s="5">
        <v>0</v>
      </c>
      <c r="AE250" s="5">
        <v>0</v>
      </c>
    </row>
    <row r="251">
      <c r="A251" s="2" t="str">
        <f>HYPERLINK("https://www.avito.ru/sankt-peterburg/uslugi/priem_metalloloma_priem_chernogo_loma_8023277910","8023277910")</f>
      </c>
      <c r="B251" t="s">
        <v>55</v>
      </c>
      <c r="C251" t="s">
        <v>56</v>
      </c>
      <c r="D251" t="s">
        <v>57</v>
      </c>
      <c r="E251" t="s">
        <v>34</v>
      </c>
      <c r="F251" t="s">
        <v>35</v>
      </c>
      <c r="G251" t="s">
        <v>36</v>
      </c>
      <c r="H251" s="3" t="str">
        <f>HYPERLINK("https://www.avito.ru/sankt-peterburg/uslugi/priem_metalloloma_priem_chernogo_loma_8023277910","Прием металлолома / Прием черного лома")</f>
      </c>
      <c r="I251" t="s">
        <v>65</v>
      </c>
      <c r="J251" t="s">
        <v>38</v>
      </c>
      <c r="K251" t="s">
        <v>39</v>
      </c>
      <c r="L251">
        <v>4</v>
      </c>
      <c r="M251" t="s">
        <v>40</v>
      </c>
      <c r="N251">
        <v>9</v>
      </c>
      <c r="O251" s="4">
        <v>0</v>
      </c>
      <c r="P251">
        <v>0</v>
      </c>
      <c r="Q251" s="5" t="s">
        <v>40</v>
      </c>
      <c r="R251" s="4" t="s">
        <v>40</v>
      </c>
      <c r="S251">
        <v>0</v>
      </c>
      <c r="T251">
        <v>0</v>
      </c>
      <c r="U251">
        <v>0</v>
      </c>
      <c r="V251">
        <v>0</v>
      </c>
      <c r="W251">
        <v>0</v>
      </c>
      <c r="X251">
        <v>0</v>
      </c>
      <c r="Y251" s="5" t="s">
        <v>40</v>
      </c>
      <c r="Z251">
        <v>0</v>
      </c>
      <c r="AA251" s="5">
        <v>0</v>
      </c>
      <c r="AB251" s="5">
        <v>0</v>
      </c>
      <c r="AC251" s="5">
        <v>0</v>
      </c>
      <c r="AD251" s="5">
        <v>0</v>
      </c>
      <c r="AE251" s="5">
        <v>0</v>
      </c>
    </row>
    <row r="252">
      <c r="A252" s="2" t="str">
        <f>HYPERLINK("https://www.avito.ru/sankt-peterburg/uslugi/priem_tsvetnogo_metalloloma_8023304020","8023304020")</f>
      </c>
      <c r="B252" t="s">
        <v>55</v>
      </c>
      <c r="C252" t="s">
        <v>56</v>
      </c>
      <c r="D252" t="s">
        <v>66</v>
      </c>
      <c r="E252" t="s">
        <v>34</v>
      </c>
      <c r="F252" t="s">
        <v>35</v>
      </c>
      <c r="G252" t="s">
        <v>36</v>
      </c>
      <c r="H252" s="3" t="str">
        <f>HYPERLINK("https://www.avito.ru/sankt-peterburg/uslugi/priem_tsvetnogo_metalloloma_8023304020","Прием цветного металлолома")</f>
      </c>
      <c r="I252" t="s">
        <v>37</v>
      </c>
      <c r="J252" t="s">
        <v>38</v>
      </c>
      <c r="K252" t="s">
        <v>39</v>
      </c>
      <c r="L252">
        <v>4</v>
      </c>
      <c r="M252" t="s">
        <v>40</v>
      </c>
      <c r="N252">
        <v>7</v>
      </c>
      <c r="O252" s="4">
        <v>0</v>
      </c>
      <c r="P252">
        <v>0</v>
      </c>
      <c r="Q252" s="5" t="s">
        <v>40</v>
      </c>
      <c r="R252" s="4" t="s">
        <v>40</v>
      </c>
      <c r="S252">
        <v>0</v>
      </c>
      <c r="T252">
        <v>0</v>
      </c>
      <c r="U252">
        <v>0</v>
      </c>
      <c r="V252">
        <v>0</v>
      </c>
      <c r="W252">
        <v>0</v>
      </c>
      <c r="X252">
        <v>0</v>
      </c>
      <c r="Y252" s="5" t="s">
        <v>40</v>
      </c>
      <c r="Z252">
        <v>0</v>
      </c>
      <c r="AA252" s="5">
        <v>0</v>
      </c>
      <c r="AB252" s="5">
        <v>0</v>
      </c>
      <c r="AC252" s="5">
        <v>0</v>
      </c>
      <c r="AD252" s="5">
        <v>0</v>
      </c>
      <c r="AE252" s="5">
        <v>0</v>
      </c>
    </row>
    <row r="253">
      <c r="A253" s="2" t="str">
        <f>HYPERLINK("https://www.avito.ru/ivangorod/uslugi/priem_metalloloma_priem_chernogo_loma_8023326634","8023326634")</f>
      </c>
      <c r="B253" t="s">
        <v>73</v>
      </c>
      <c r="C253" t="s">
        <v>168</v>
      </c>
      <c r="D253" t="s">
        <v>169</v>
      </c>
      <c r="E253" t="s">
        <v>34</v>
      </c>
      <c r="F253" t="s">
        <v>35</v>
      </c>
      <c r="G253" t="s">
        <v>36</v>
      </c>
      <c r="H253" s="3" t="str">
        <f>HYPERLINK("https://www.avito.ru/ivangorod/uslugi/priem_metalloloma_priem_chernogo_loma_8023326634","Прием металлолома / Прием черного лома")</f>
      </c>
      <c r="I253" t="s">
        <v>37</v>
      </c>
      <c r="J253" t="s">
        <v>38</v>
      </c>
      <c r="K253" t="s">
        <v>39</v>
      </c>
      <c r="L253">
        <v>4</v>
      </c>
      <c r="M253" t="s">
        <v>40</v>
      </c>
      <c r="N253">
        <v>5</v>
      </c>
      <c r="O253" s="4">
        <v>0</v>
      </c>
      <c r="P253">
        <v>0</v>
      </c>
      <c r="Q253" s="5" t="s">
        <v>40</v>
      </c>
      <c r="R253" s="4" t="s">
        <v>40</v>
      </c>
      <c r="S253">
        <v>0</v>
      </c>
      <c r="T253">
        <v>0</v>
      </c>
      <c r="U253">
        <v>0</v>
      </c>
      <c r="V253">
        <v>0</v>
      </c>
      <c r="W253">
        <v>0</v>
      </c>
      <c r="X253">
        <v>0</v>
      </c>
      <c r="Y253" s="5" t="s">
        <v>40</v>
      </c>
      <c r="Z253">
        <v>0</v>
      </c>
      <c r="AA253" s="5">
        <v>0</v>
      </c>
      <c r="AB253" s="5">
        <v>0</v>
      </c>
      <c r="AC253" s="5">
        <v>0</v>
      </c>
      <c r="AD253" s="5">
        <v>0</v>
      </c>
      <c r="AE253" s="5">
        <v>0</v>
      </c>
    </row>
    <row r="254">
      <c r="A254" s="2" t="str">
        <f>HYPERLINK("https://www.avito.ru/staraya/uslugi/priem_tsvetnogo_metalloloma_8023354125","8023354125")</f>
      </c>
      <c r="B254" t="s">
        <v>73</v>
      </c>
      <c r="C254" t="s">
        <v>228</v>
      </c>
      <c r="D254" t="s">
        <v>229</v>
      </c>
      <c r="E254" t="s">
        <v>34</v>
      </c>
      <c r="F254" t="s">
        <v>35</v>
      </c>
      <c r="G254" t="s">
        <v>36</v>
      </c>
      <c r="H254" s="3" t="str">
        <f>HYPERLINK("https://www.avito.ru/staraya/uslugi/priem_tsvetnogo_metalloloma_8023354125","Прием цветного металлолома")</f>
      </c>
      <c r="I254" t="s">
        <v>47</v>
      </c>
      <c r="J254" t="s">
        <v>38</v>
      </c>
      <c r="K254" t="s">
        <v>39</v>
      </c>
      <c r="L254">
        <v>4</v>
      </c>
      <c r="M254" t="s">
        <v>40</v>
      </c>
      <c r="N254">
        <v>4</v>
      </c>
      <c r="O254" s="4">
        <v>0</v>
      </c>
      <c r="P254">
        <v>0</v>
      </c>
      <c r="Q254" s="5" t="s">
        <v>40</v>
      </c>
      <c r="R254" s="4" t="s">
        <v>40</v>
      </c>
      <c r="S254">
        <v>0</v>
      </c>
      <c r="T254">
        <v>0</v>
      </c>
      <c r="U254">
        <v>0</v>
      </c>
      <c r="V254">
        <v>0</v>
      </c>
      <c r="W254">
        <v>0</v>
      </c>
      <c r="X254">
        <v>0</v>
      </c>
      <c r="Y254" s="5" t="s">
        <v>40</v>
      </c>
      <c r="Z254">
        <v>0</v>
      </c>
      <c r="AA254" s="5">
        <v>0</v>
      </c>
      <c r="AB254" s="5">
        <v>0</v>
      </c>
      <c r="AC254" s="5">
        <v>0</v>
      </c>
      <c r="AD254" s="5">
        <v>0</v>
      </c>
      <c r="AE254" s="5">
        <v>0</v>
      </c>
    </row>
    <row r="255">
      <c r="A255" s="2" t="str">
        <f>HYPERLINK("https://www.avito.ru/syasstroy/uslugi/priem_tsvetnogo_metalloloma_8023362023","8023362023")</f>
      </c>
      <c r="B255" t="s">
        <v>73</v>
      </c>
      <c r="C255" t="s">
        <v>223</v>
      </c>
      <c r="D255" t="s">
        <v>224</v>
      </c>
      <c r="E255" t="s">
        <v>34</v>
      </c>
      <c r="F255" t="s">
        <v>35</v>
      </c>
      <c r="G255" t="s">
        <v>36</v>
      </c>
      <c r="H255" s="3" t="str">
        <f>HYPERLINK("https://www.avito.ru/syasstroy/uslugi/priem_tsvetnogo_metalloloma_8023362023","Прием цветного металлолома")</f>
      </c>
      <c r="I255" t="s">
        <v>37</v>
      </c>
      <c r="J255" t="s">
        <v>38</v>
      </c>
      <c r="K255" t="s">
        <v>39</v>
      </c>
      <c r="L255">
        <v>4</v>
      </c>
      <c r="M255" t="s">
        <v>40</v>
      </c>
      <c r="N255">
        <v>2</v>
      </c>
      <c r="O255" s="4">
        <v>0</v>
      </c>
      <c r="P255">
        <v>0</v>
      </c>
      <c r="Q255" s="5" t="s">
        <v>40</v>
      </c>
      <c r="R255" s="4" t="s">
        <v>40</v>
      </c>
      <c r="S255">
        <v>0</v>
      </c>
      <c r="T255">
        <v>0</v>
      </c>
      <c r="U255">
        <v>0</v>
      </c>
      <c r="V255">
        <v>0</v>
      </c>
      <c r="W255">
        <v>0</v>
      </c>
      <c r="X255">
        <v>0</v>
      </c>
      <c r="Y255" s="5" t="s">
        <v>40</v>
      </c>
      <c r="Z255">
        <v>0</v>
      </c>
      <c r="AA255" s="5">
        <v>0</v>
      </c>
      <c r="AB255" s="5">
        <v>0</v>
      </c>
      <c r="AC255" s="5">
        <v>0</v>
      </c>
      <c r="AD255" s="5">
        <v>0</v>
      </c>
      <c r="AE255" s="5">
        <v>0</v>
      </c>
    </row>
    <row r="256">
      <c r="A256" s="2" t="str">
        <f>HYPERLINK("https://www.avito.ru/bugry/uslugi/priem_metalloloma_priem_tsvetnogo_loma_8023367574","8023367574")</f>
      </c>
      <c r="B256" t="s">
        <v>73</v>
      </c>
      <c r="C256" t="s">
        <v>236</v>
      </c>
      <c r="D256" t="s">
        <v>237</v>
      </c>
      <c r="E256" t="s">
        <v>34</v>
      </c>
      <c r="F256" t="s">
        <v>35</v>
      </c>
      <c r="G256" t="s">
        <v>36</v>
      </c>
      <c r="H256" s="3" t="str">
        <f>HYPERLINK("https://www.avito.ru/bugry/uslugi/priem_metalloloma_priem_tsvetnogo_loma_8023367574","Прием металлолома / Прием цветного лома")</f>
      </c>
      <c r="I256" t="s">
        <v>54</v>
      </c>
      <c r="J256" t="s">
        <v>38</v>
      </c>
      <c r="K256" t="s">
        <v>39</v>
      </c>
      <c r="L256">
        <v>4</v>
      </c>
      <c r="M256" t="s">
        <v>40</v>
      </c>
      <c r="N256">
        <v>1</v>
      </c>
      <c r="O256" s="4">
        <v>0</v>
      </c>
      <c r="P256">
        <v>0</v>
      </c>
      <c r="Q256" s="5" t="s">
        <v>40</v>
      </c>
      <c r="R256" s="4" t="s">
        <v>40</v>
      </c>
      <c r="S256">
        <v>0</v>
      </c>
      <c r="T256">
        <v>0</v>
      </c>
      <c r="U256">
        <v>0</v>
      </c>
      <c r="V256">
        <v>0</v>
      </c>
      <c r="W256">
        <v>0</v>
      </c>
      <c r="X256">
        <v>0</v>
      </c>
      <c r="Y256" s="5" t="s">
        <v>40</v>
      </c>
      <c r="Z256">
        <v>0</v>
      </c>
      <c r="AA256" s="5">
        <v>0</v>
      </c>
      <c r="AB256" s="5">
        <v>0</v>
      </c>
      <c r="AC256" s="5">
        <v>0</v>
      </c>
      <c r="AD256" s="5">
        <v>0</v>
      </c>
      <c r="AE256" s="5">
        <v>0</v>
      </c>
    </row>
    <row r="257">
      <c r="A257" s="2" t="str">
        <f>HYPERLINK("https://www.avito.ru/volosovo/uslugi/priem_metalloloma_priem_chernogo_loma_8023374737","8023374737")</f>
      </c>
      <c r="B257" t="s">
        <v>73</v>
      </c>
      <c r="C257" t="s">
        <v>203</v>
      </c>
      <c r="D257" t="s">
        <v>204</v>
      </c>
      <c r="E257" t="s">
        <v>34</v>
      </c>
      <c r="F257" t="s">
        <v>35</v>
      </c>
      <c r="G257" t="s">
        <v>36</v>
      </c>
      <c r="H257" s="3" t="str">
        <f>HYPERLINK("https://www.avito.ru/volosovo/uslugi/priem_metalloloma_priem_chernogo_loma_8023374737","Прием металлолома / Прием черного лома")</f>
      </c>
      <c r="I257" t="s">
        <v>41</v>
      </c>
      <c r="J257" t="s">
        <v>38</v>
      </c>
      <c r="K257" t="s">
        <v>39</v>
      </c>
      <c r="L257">
        <v>4</v>
      </c>
      <c r="M257" t="s">
        <v>40</v>
      </c>
      <c r="N257">
        <v>2</v>
      </c>
      <c r="O257" s="4">
        <v>0</v>
      </c>
      <c r="P257">
        <v>0</v>
      </c>
      <c r="Q257" s="5" t="s">
        <v>40</v>
      </c>
      <c r="R257" s="4" t="s">
        <v>40</v>
      </c>
      <c r="S257">
        <v>0</v>
      </c>
      <c r="T257">
        <v>0</v>
      </c>
      <c r="U257">
        <v>0</v>
      </c>
      <c r="V257">
        <v>0</v>
      </c>
      <c r="W257">
        <v>0</v>
      </c>
      <c r="X257">
        <v>0</v>
      </c>
      <c r="Y257" s="5" t="s">
        <v>40</v>
      </c>
      <c r="Z257">
        <v>0</v>
      </c>
      <c r="AA257" s="5">
        <v>0</v>
      </c>
      <c r="AB257" s="5">
        <v>0</v>
      </c>
      <c r="AC257" s="5">
        <v>0</v>
      </c>
      <c r="AD257" s="5">
        <v>0</v>
      </c>
      <c r="AE257" s="5">
        <v>0</v>
      </c>
    </row>
    <row r="258">
      <c r="A258" s="2" t="str">
        <f>HYPERLINK("https://www.avito.ru/vytegra/uslugi/priem_i_vyvoz_metalloloma_samovyvoz_loma_8023399423","8023399423")</f>
      </c>
      <c r="B258" t="s">
        <v>42</v>
      </c>
      <c r="C258" t="s">
        <v>179</v>
      </c>
      <c r="D258" t="s">
        <v>180</v>
      </c>
      <c r="E258" t="s">
        <v>34</v>
      </c>
      <c r="F258" t="s">
        <v>35</v>
      </c>
      <c r="G258" t="s">
        <v>36</v>
      </c>
      <c r="H258" s="3" t="str">
        <f>HYPERLINK("https://www.avito.ru/vytegra/uslugi/priem_i_vyvoz_metalloloma_samovyvoz_loma_8023399423","Прием и вывоз металлолома / Самовывоз лома")</f>
      </c>
      <c r="I258" t="s">
        <v>78</v>
      </c>
      <c r="J258" t="s">
        <v>38</v>
      </c>
      <c r="K258" t="s">
        <v>39</v>
      </c>
      <c r="L258">
        <v>4</v>
      </c>
      <c r="M258" t="s">
        <v>40</v>
      </c>
      <c r="N258">
        <v>12</v>
      </c>
      <c r="O258" s="4">
        <v>0</v>
      </c>
      <c r="P258">
        <v>0</v>
      </c>
      <c r="Q258" s="5" t="s">
        <v>40</v>
      </c>
      <c r="R258" s="4" t="s">
        <v>40</v>
      </c>
      <c r="S258">
        <v>0</v>
      </c>
      <c r="T258">
        <v>0</v>
      </c>
      <c r="U258">
        <v>0</v>
      </c>
      <c r="V258">
        <v>0</v>
      </c>
      <c r="W258">
        <v>0</v>
      </c>
      <c r="X258">
        <v>0</v>
      </c>
      <c r="Y258" s="5" t="s">
        <v>40</v>
      </c>
      <c r="Z258">
        <v>0</v>
      </c>
      <c r="AA258" s="5">
        <v>0</v>
      </c>
      <c r="AB258" s="5">
        <v>0</v>
      </c>
      <c r="AC258" s="5">
        <v>0</v>
      </c>
      <c r="AD258" s="5">
        <v>0</v>
      </c>
      <c r="AE258" s="5">
        <v>0</v>
      </c>
    </row>
    <row r="259">
      <c r="A259" s="2" t="str">
        <f>HYPERLINK("https://www.avito.ru/leningradskaya_oblast_kommunar/uslugi/priem_metalloloma_priem_tsvetnogo_loma_8023404480","8023404480")</f>
      </c>
      <c r="B259" t="s">
        <v>73</v>
      </c>
      <c r="C259" t="s">
        <v>212</v>
      </c>
      <c r="D259" t="s">
        <v>213</v>
      </c>
      <c r="E259" t="s">
        <v>34</v>
      </c>
      <c r="F259" t="s">
        <v>35</v>
      </c>
      <c r="G259" t="s">
        <v>36</v>
      </c>
      <c r="H259" s="3" t="str">
        <f>HYPERLINK("https://www.avito.ru/leningradskaya_oblast_kommunar/uslugi/priem_metalloloma_priem_tsvetnogo_loma_8023404480","Прием металлолома / Прием цветного лома")</f>
      </c>
      <c r="I259" t="s">
        <v>41</v>
      </c>
      <c r="J259" t="s">
        <v>38</v>
      </c>
      <c r="K259" t="s">
        <v>39</v>
      </c>
      <c r="L259">
        <v>4</v>
      </c>
      <c r="M259" t="s">
        <v>40</v>
      </c>
      <c r="N259">
        <v>6</v>
      </c>
      <c r="O259" s="4">
        <v>0</v>
      </c>
      <c r="P259">
        <v>0</v>
      </c>
      <c r="Q259" s="5" t="s">
        <v>40</v>
      </c>
      <c r="R259" s="4" t="s">
        <v>40</v>
      </c>
      <c r="S259">
        <v>0</v>
      </c>
      <c r="T259">
        <v>0</v>
      </c>
      <c r="U259">
        <v>0</v>
      </c>
      <c r="V259">
        <v>0</v>
      </c>
      <c r="W259">
        <v>0</v>
      </c>
      <c r="X259">
        <v>0</v>
      </c>
      <c r="Y259" s="5" t="s">
        <v>40</v>
      </c>
      <c r="Z259">
        <v>0</v>
      </c>
      <c r="AA259" s="5">
        <v>0</v>
      </c>
      <c r="AB259" s="5">
        <v>0</v>
      </c>
      <c r="AC259" s="5">
        <v>0</v>
      </c>
      <c r="AD259" s="5">
        <v>0</v>
      </c>
      <c r="AE259" s="5">
        <v>0</v>
      </c>
    </row>
    <row r="260">
      <c r="A260" s="2" t="str">
        <f>HYPERLINK("https://www.avito.ru/novaya_ladoga/uslugi/priem_metalla_demontazh_priem_metalloloma_8023445835","8023445835")</f>
      </c>
      <c r="B260" t="s">
        <v>73</v>
      </c>
      <c r="C260" t="s">
        <v>197</v>
      </c>
      <c r="D260" t="s">
        <v>198</v>
      </c>
      <c r="E260" t="s">
        <v>34</v>
      </c>
      <c r="F260" t="s">
        <v>35</v>
      </c>
      <c r="G260" t="s">
        <v>36</v>
      </c>
      <c r="H260" s="3" t="str">
        <f>HYPERLINK("https://www.avito.ru/novaya_ladoga/uslugi/priem_metalla_demontazh_priem_metalloloma_8023445835","Прием металла / Демонтаж / Прием металлолома")</f>
      </c>
      <c r="I260" t="s">
        <v>85</v>
      </c>
      <c r="J260" t="s">
        <v>38</v>
      </c>
      <c r="K260" t="s">
        <v>39</v>
      </c>
      <c r="L260">
        <v>4</v>
      </c>
      <c r="M260" t="s">
        <v>40</v>
      </c>
      <c r="N260">
        <v>3</v>
      </c>
      <c r="O260" s="4">
        <v>0</v>
      </c>
      <c r="P260">
        <v>0</v>
      </c>
      <c r="Q260" s="5" t="s">
        <v>40</v>
      </c>
      <c r="R260" s="4" t="s">
        <v>40</v>
      </c>
      <c r="S260">
        <v>0</v>
      </c>
      <c r="T260">
        <v>0</v>
      </c>
      <c r="U260">
        <v>0</v>
      </c>
      <c r="V260">
        <v>0</v>
      </c>
      <c r="W260">
        <v>0</v>
      </c>
      <c r="X260">
        <v>0</v>
      </c>
      <c r="Y260" s="5" t="s">
        <v>40</v>
      </c>
      <c r="Z260">
        <v>0</v>
      </c>
      <c r="AA260" s="5">
        <v>0</v>
      </c>
      <c r="AB260" s="5">
        <v>0</v>
      </c>
      <c r="AC260" s="5">
        <v>0</v>
      </c>
      <c r="AD260" s="5">
        <v>0</v>
      </c>
      <c r="AE260" s="5">
        <v>0</v>
      </c>
    </row>
    <row r="261">
      <c r="A261" s="2" t="str">
        <f>HYPERLINK("https://www.avito.ru/bugry/uslugi/priem_i_vyvoz_metalloloma_priem_redkih_metallov_8023448280","8023448280")</f>
      </c>
      <c r="B261" t="s">
        <v>73</v>
      </c>
      <c r="C261" t="s">
        <v>236</v>
      </c>
      <c r="D261" t="s">
        <v>237</v>
      </c>
      <c r="E261" t="s">
        <v>34</v>
      </c>
      <c r="F261" t="s">
        <v>35</v>
      </c>
      <c r="G261" t="s">
        <v>36</v>
      </c>
      <c r="H261" s="3" t="str">
        <f>HYPERLINK("https://www.avito.ru/bugry/uslugi/priem_i_vyvoz_metalloloma_priem_redkih_metallov_8023448280","Прием и вывоз металлолома / Прием редких металлов")</f>
      </c>
      <c r="I261" t="s">
        <v>54</v>
      </c>
      <c r="J261" t="s">
        <v>38</v>
      </c>
      <c r="K261" t="s">
        <v>39</v>
      </c>
      <c r="L261">
        <v>4</v>
      </c>
      <c r="M261" t="s">
        <v>40</v>
      </c>
      <c r="N261">
        <v>4</v>
      </c>
      <c r="O261" s="4">
        <v>0</v>
      </c>
      <c r="P261">
        <v>0</v>
      </c>
      <c r="Q261" s="5" t="s">
        <v>40</v>
      </c>
      <c r="R261" s="4" t="s">
        <v>40</v>
      </c>
      <c r="S261">
        <v>0</v>
      </c>
      <c r="T261">
        <v>0</v>
      </c>
      <c r="U261">
        <v>0</v>
      </c>
      <c r="V261">
        <v>0</v>
      </c>
      <c r="W261">
        <v>0</v>
      </c>
      <c r="X261">
        <v>0</v>
      </c>
      <c r="Y261" s="5" t="s">
        <v>40</v>
      </c>
      <c r="Z261">
        <v>0</v>
      </c>
      <c r="AA261" s="5">
        <v>0</v>
      </c>
      <c r="AB261" s="5">
        <v>0</v>
      </c>
      <c r="AC261" s="5">
        <v>0</v>
      </c>
      <c r="AD261" s="5">
        <v>0</v>
      </c>
      <c r="AE261" s="5">
        <v>0</v>
      </c>
    </row>
    <row r="262">
      <c r="A262" s="2" t="str">
        <f>HYPERLINK("https://www.avito.ru/kipen/uslugi/priem_metalloloma_priem_chernogo_loma_opt_8023449487","8023449487")</f>
      </c>
      <c r="B262" t="s">
        <v>73</v>
      </c>
      <c r="C262" t="s">
        <v>160</v>
      </c>
      <c r="D262" t="s">
        <v>161</v>
      </c>
      <c r="E262" t="s">
        <v>34</v>
      </c>
      <c r="F262" t="s">
        <v>35</v>
      </c>
      <c r="G262" t="s">
        <v>36</v>
      </c>
      <c r="H262" s="3" t="str">
        <f>HYPERLINK("https://www.avito.ru/kipen/uslugi/priem_metalloloma_priem_chernogo_loma_opt_8023449487","Прием металлолома / Прием черного лома опт")</f>
      </c>
      <c r="I262" t="s">
        <v>54</v>
      </c>
      <c r="J262" t="s">
        <v>38</v>
      </c>
      <c r="K262" t="s">
        <v>39</v>
      </c>
      <c r="L262">
        <v>4</v>
      </c>
      <c r="M262" t="s">
        <v>40</v>
      </c>
      <c r="N262">
        <v>3</v>
      </c>
      <c r="O262" s="4">
        <v>0</v>
      </c>
      <c r="P262">
        <v>0</v>
      </c>
      <c r="Q262" s="5" t="s">
        <v>40</v>
      </c>
      <c r="R262" s="4" t="s">
        <v>40</v>
      </c>
      <c r="S262">
        <v>0</v>
      </c>
      <c r="T262">
        <v>0</v>
      </c>
      <c r="U262">
        <v>0</v>
      </c>
      <c r="V262">
        <v>0</v>
      </c>
      <c r="W262">
        <v>0</v>
      </c>
      <c r="X262">
        <v>0</v>
      </c>
      <c r="Y262" s="5" t="s">
        <v>40</v>
      </c>
      <c r="Z262">
        <v>0</v>
      </c>
      <c r="AA262" s="5">
        <v>0</v>
      </c>
      <c r="AB262" s="5">
        <v>0</v>
      </c>
      <c r="AC262" s="5">
        <v>0</v>
      </c>
      <c r="AD262" s="5">
        <v>0</v>
      </c>
      <c r="AE262" s="5">
        <v>0</v>
      </c>
    </row>
    <row r="263">
      <c r="A263" s="2" t="str">
        <f>HYPERLINK("https://www.avito.ru/sankt-peterburg/uslugi/priem_metalloloma_priem_loma_demontazh_8023455841","8023455841")</f>
      </c>
      <c r="B263" t="s">
        <v>55</v>
      </c>
      <c r="C263" t="s">
        <v>56</v>
      </c>
      <c r="D263" t="s">
        <v>227</v>
      </c>
      <c r="E263" t="s">
        <v>34</v>
      </c>
      <c r="F263" t="s">
        <v>35</v>
      </c>
      <c r="G263" t="s">
        <v>36</v>
      </c>
      <c r="H263" s="3" t="str">
        <f>HYPERLINK("https://www.avito.ru/sankt-peterburg/uslugi/priem_metalloloma_priem_loma_demontazh_8023455841","Прием металлолома / Прием лома / Демонтаж")</f>
      </c>
      <c r="I263" t="s">
        <v>151</v>
      </c>
      <c r="J263" t="s">
        <v>38</v>
      </c>
      <c r="K263" t="s">
        <v>39</v>
      </c>
      <c r="L263">
        <v>4</v>
      </c>
      <c r="M263" t="s">
        <v>40</v>
      </c>
      <c r="N263">
        <v>24</v>
      </c>
      <c r="O263" s="4">
        <v>0</v>
      </c>
      <c r="P263">
        <v>0</v>
      </c>
      <c r="Q263" s="5" t="s">
        <v>40</v>
      </c>
      <c r="R263" s="4" t="s">
        <v>40</v>
      </c>
      <c r="S263">
        <v>0</v>
      </c>
      <c r="T263">
        <v>0</v>
      </c>
      <c r="U263">
        <v>0</v>
      </c>
      <c r="V263">
        <v>0</v>
      </c>
      <c r="W263">
        <v>0</v>
      </c>
      <c r="X263">
        <v>0</v>
      </c>
      <c r="Y263" s="5" t="s">
        <v>40</v>
      </c>
      <c r="Z263">
        <v>0</v>
      </c>
      <c r="AA263" s="5">
        <v>0</v>
      </c>
      <c r="AB263" s="5">
        <v>0</v>
      </c>
      <c r="AC263" s="5">
        <v>0</v>
      </c>
      <c r="AD263" s="5">
        <v>0</v>
      </c>
      <c r="AE263" s="5">
        <v>0</v>
      </c>
    </row>
    <row r="264">
      <c r="A264" s="2" t="str">
        <f>HYPERLINK("https://www.avito.ru/krasnaya_dolina/uslugi/priem_tsvetnogo_metalloloma_8023479592","8023479592")</f>
      </c>
      <c r="B264" t="s">
        <v>73</v>
      </c>
      <c r="C264" t="s">
        <v>219</v>
      </c>
      <c r="D264" t="s">
        <v>220</v>
      </c>
      <c r="E264" t="s">
        <v>34</v>
      </c>
      <c r="F264" t="s">
        <v>35</v>
      </c>
      <c r="G264" t="s">
        <v>36</v>
      </c>
      <c r="H264" s="3" t="str">
        <f>HYPERLINK("https://www.avito.ru/krasnaya_dolina/uslugi/priem_tsvetnogo_metalloloma_8023479592","Прием цветного металлолома")</f>
      </c>
      <c r="I264" t="s">
        <v>65</v>
      </c>
      <c r="J264" t="s">
        <v>38</v>
      </c>
      <c r="K264" t="s">
        <v>39</v>
      </c>
      <c r="L264">
        <v>4</v>
      </c>
      <c r="M264" t="s">
        <v>40</v>
      </c>
      <c r="N264">
        <v>2</v>
      </c>
      <c r="O264" s="4">
        <v>0</v>
      </c>
      <c r="P264">
        <v>0</v>
      </c>
      <c r="Q264" s="5" t="s">
        <v>40</v>
      </c>
      <c r="R264" s="4" t="s">
        <v>40</v>
      </c>
      <c r="S264">
        <v>0</v>
      </c>
      <c r="T264">
        <v>0</v>
      </c>
      <c r="U264">
        <v>0</v>
      </c>
      <c r="V264">
        <v>0</v>
      </c>
      <c r="W264">
        <v>0</v>
      </c>
      <c r="X264">
        <v>0</v>
      </c>
      <c r="Y264" s="5" t="s">
        <v>40</v>
      </c>
      <c r="Z264">
        <v>0</v>
      </c>
      <c r="AA264" s="5">
        <v>0</v>
      </c>
      <c r="AB264" s="5">
        <v>0</v>
      </c>
      <c r="AC264" s="5">
        <v>0</v>
      </c>
      <c r="AD264" s="5">
        <v>0</v>
      </c>
      <c r="AE264" s="5">
        <v>0</v>
      </c>
    </row>
    <row r="265">
      <c r="A265" s="2" t="str">
        <f>HYPERLINK("https://www.avito.ru/sankt-peterburg/uslugi/priem_metalloloma_vyvoz_metalloloma_8023484841","8023484841")</f>
      </c>
      <c r="B265" t="s">
        <v>55</v>
      </c>
      <c r="C265" t="s">
        <v>56</v>
      </c>
      <c r="D265" t="s">
        <v>84</v>
      </c>
      <c r="E265" t="s">
        <v>34</v>
      </c>
      <c r="F265" t="s">
        <v>35</v>
      </c>
      <c r="G265" t="s">
        <v>36</v>
      </c>
      <c r="H265" s="3" t="str">
        <f>HYPERLINK("https://www.avito.ru/sankt-peterburg/uslugi/priem_metalloloma_vyvoz_metalloloma_8023484841","Прием металлолома/ Вывоз металлолома")</f>
      </c>
      <c r="I265" t="s">
        <v>95</v>
      </c>
      <c r="J265" t="s">
        <v>96</v>
      </c>
      <c r="K265" t="s">
        <v>69</v>
      </c>
      <c r="L265">
        <v>8</v>
      </c>
      <c r="M265" t="s">
        <v>40</v>
      </c>
      <c r="N265">
        <v>17</v>
      </c>
      <c r="O265" s="4">
        <v>0</v>
      </c>
      <c r="P265">
        <v>0</v>
      </c>
      <c r="Q265" s="5" t="s">
        <v>40</v>
      </c>
      <c r="R265" s="4" t="s">
        <v>40</v>
      </c>
      <c r="S265">
        <v>0</v>
      </c>
      <c r="T265">
        <v>0</v>
      </c>
      <c r="U265">
        <v>0</v>
      </c>
      <c r="V265">
        <v>0</v>
      </c>
      <c r="W265">
        <v>0</v>
      </c>
      <c r="X265">
        <v>0</v>
      </c>
      <c r="Y265" s="5" t="s">
        <v>40</v>
      </c>
      <c r="Z265">
        <v>0</v>
      </c>
      <c r="AA265" s="5">
        <v>0</v>
      </c>
      <c r="AB265" s="5">
        <v>0</v>
      </c>
      <c r="AC265" s="5">
        <v>0</v>
      </c>
      <c r="AD265" s="5">
        <v>0</v>
      </c>
      <c r="AE265" s="5">
        <v>0</v>
      </c>
    </row>
    <row r="266">
      <c r="A266" s="2" t="str">
        <f>HYPERLINK("https://www.avito.ru/leningradskaya_oblast_lebyazhe/uslugi/priem_metalloloma_priem_chernogo_loma_8023534145","8023534145")</f>
      </c>
      <c r="B266" t="s">
        <v>73</v>
      </c>
      <c r="C266" t="s">
        <v>221</v>
      </c>
      <c r="D266" t="s">
        <v>222</v>
      </c>
      <c r="E266" t="s">
        <v>34</v>
      </c>
      <c r="F266" t="s">
        <v>35</v>
      </c>
      <c r="G266" t="s">
        <v>36</v>
      </c>
      <c r="H266" s="3" t="str">
        <f>HYPERLINK("https://www.avito.ru/leningradskaya_oblast_lebyazhe/uslugi/priem_metalloloma_priem_chernogo_loma_8023534145","Прием металлолома / Прием черного лома")</f>
      </c>
      <c r="I266" t="s">
        <v>47</v>
      </c>
      <c r="J266" t="s">
        <v>38</v>
      </c>
      <c r="K266" t="s">
        <v>39</v>
      </c>
      <c r="L266">
        <v>4</v>
      </c>
      <c r="M266" t="s">
        <v>40</v>
      </c>
      <c r="N266">
        <v>5</v>
      </c>
      <c r="O266" s="4">
        <v>0</v>
      </c>
      <c r="P266">
        <v>0</v>
      </c>
      <c r="Q266" s="5" t="s">
        <v>40</v>
      </c>
      <c r="R266" s="4" t="s">
        <v>40</v>
      </c>
      <c r="S266">
        <v>0</v>
      </c>
      <c r="T266">
        <v>0</v>
      </c>
      <c r="U266">
        <v>0</v>
      </c>
      <c r="V266">
        <v>0</v>
      </c>
      <c r="W266">
        <v>0</v>
      </c>
      <c r="X266">
        <v>0</v>
      </c>
      <c r="Y266" s="5" t="s">
        <v>40</v>
      </c>
      <c r="Z266">
        <v>0</v>
      </c>
      <c r="AA266" s="5">
        <v>0</v>
      </c>
      <c r="AB266" s="5">
        <v>0</v>
      </c>
      <c r="AC266" s="5">
        <v>0</v>
      </c>
      <c r="AD266" s="5">
        <v>0</v>
      </c>
      <c r="AE266" s="5">
        <v>0</v>
      </c>
    </row>
    <row r="267">
      <c r="A267" s="2" t="str">
        <f>HYPERLINK("https://www.avito.ru/sankt-peterburg/uslugi/priem_metalla_demontazh_priem_metalloloma_8023554142","8023554142")</f>
      </c>
      <c r="B267" t="s">
        <v>55</v>
      </c>
      <c r="C267" t="s">
        <v>56</v>
      </c>
      <c r="D267" t="s">
        <v>227</v>
      </c>
      <c r="E267" t="s">
        <v>34</v>
      </c>
      <c r="F267" t="s">
        <v>35</v>
      </c>
      <c r="G267" t="s">
        <v>36</v>
      </c>
      <c r="H267" s="3" t="str">
        <f>HYPERLINK("https://www.avito.ru/sankt-peterburg/uslugi/priem_metalla_demontazh_priem_metalloloma_8023554142","Прием металла / Демонтаж / Прием металлолома")</f>
      </c>
      <c r="I267" t="s">
        <v>95</v>
      </c>
      <c r="J267" t="s">
        <v>96</v>
      </c>
      <c r="K267" t="s">
        <v>69</v>
      </c>
      <c r="L267">
        <v>8</v>
      </c>
      <c r="M267" t="s">
        <v>40</v>
      </c>
      <c r="N267">
        <v>14</v>
      </c>
      <c r="O267" s="4">
        <v>0</v>
      </c>
      <c r="P267">
        <v>0</v>
      </c>
      <c r="Q267" s="5" t="s">
        <v>40</v>
      </c>
      <c r="R267" s="4" t="s">
        <v>40</v>
      </c>
      <c r="S267">
        <v>0</v>
      </c>
      <c r="T267">
        <v>0</v>
      </c>
      <c r="U267">
        <v>0</v>
      </c>
      <c r="V267">
        <v>0</v>
      </c>
      <c r="W267">
        <v>0</v>
      </c>
      <c r="X267">
        <v>0</v>
      </c>
      <c r="Y267" s="5" t="s">
        <v>40</v>
      </c>
      <c r="Z267">
        <v>0</v>
      </c>
      <c r="AA267" s="5">
        <v>0</v>
      </c>
      <c r="AB267" s="5">
        <v>0</v>
      </c>
      <c r="AC267" s="5">
        <v>0</v>
      </c>
      <c r="AD267" s="5">
        <v>0</v>
      </c>
      <c r="AE267" s="5">
        <v>0</v>
      </c>
    </row>
    <row r="268">
      <c r="A268" s="2" t="str">
        <f>HYPERLINK("https://www.avito.ru/novoe_devyatkino/uslugi/priem_i_vyvoz_metalloloma_sdat_lom_8023554908","8023554908")</f>
      </c>
      <c r="B268" t="s">
        <v>73</v>
      </c>
      <c r="C268" t="s">
        <v>217</v>
      </c>
      <c r="D268" t="s">
        <v>218</v>
      </c>
      <c r="E268" t="s">
        <v>34</v>
      </c>
      <c r="F268" t="s">
        <v>35</v>
      </c>
      <c r="G268" t="s">
        <v>36</v>
      </c>
      <c r="H268" s="3" t="str">
        <f>HYPERLINK("https://www.avito.ru/novoe_devyatkino/uslugi/priem_i_vyvoz_metalloloma_sdat_lom_8023554908","Прием и вывоз металлолома / Сдать лом")</f>
      </c>
      <c r="I268" t="s">
        <v>95</v>
      </c>
      <c r="J268" t="s">
        <v>38</v>
      </c>
      <c r="K268" t="s">
        <v>39</v>
      </c>
      <c r="L268">
        <v>4</v>
      </c>
      <c r="M268" t="s">
        <v>40</v>
      </c>
      <c r="N268">
        <v>2</v>
      </c>
      <c r="O268" s="4">
        <v>0</v>
      </c>
      <c r="P268">
        <v>0</v>
      </c>
      <c r="Q268" s="5" t="s">
        <v>40</v>
      </c>
      <c r="R268" s="4" t="s">
        <v>40</v>
      </c>
      <c r="S268">
        <v>0</v>
      </c>
      <c r="T268">
        <v>0</v>
      </c>
      <c r="U268">
        <v>0</v>
      </c>
      <c r="V268">
        <v>0</v>
      </c>
      <c r="W268">
        <v>0</v>
      </c>
      <c r="X268">
        <v>0</v>
      </c>
      <c r="Y268" s="5" t="s">
        <v>40</v>
      </c>
      <c r="Z268">
        <v>0</v>
      </c>
      <c r="AA268" s="5">
        <v>0</v>
      </c>
      <c r="AB268" s="5">
        <v>0</v>
      </c>
      <c r="AC268" s="5">
        <v>0</v>
      </c>
      <c r="AD268" s="5">
        <v>0</v>
      </c>
      <c r="AE268" s="5">
        <v>0</v>
      </c>
    </row>
    <row r="269">
      <c r="A269" s="2" t="str">
        <f>HYPERLINK("https://www.avito.ru/sankt-peterburg/uslugi/priem_metalloloma_priem_chernogo_loma_8023556548","8023556548")</f>
      </c>
      <c r="B269" t="s">
        <v>55</v>
      </c>
      <c r="C269" t="s">
        <v>56</v>
      </c>
      <c r="D269" t="s">
        <v>110</v>
      </c>
      <c r="E269" t="s">
        <v>34</v>
      </c>
      <c r="F269" t="s">
        <v>35</v>
      </c>
      <c r="G269" t="s">
        <v>36</v>
      </c>
      <c r="H269" s="3" t="str">
        <f>HYPERLINK("https://www.avito.ru/sankt-peterburg/uslugi/priem_metalloloma_priem_chernogo_loma_8023556548","Прием металлолома / Прием черного лома")</f>
      </c>
      <c r="I269" t="s">
        <v>47</v>
      </c>
      <c r="J269" t="s">
        <v>38</v>
      </c>
      <c r="K269" t="s">
        <v>39</v>
      </c>
      <c r="L269">
        <v>4</v>
      </c>
      <c r="M269" t="s">
        <v>40</v>
      </c>
      <c r="N269">
        <v>36</v>
      </c>
      <c r="O269" s="4">
        <v>0</v>
      </c>
      <c r="P269">
        <v>0</v>
      </c>
      <c r="Q269" s="5" t="s">
        <v>40</v>
      </c>
      <c r="R269" s="4" t="s">
        <v>40</v>
      </c>
      <c r="S269">
        <v>0</v>
      </c>
      <c r="T269">
        <v>0</v>
      </c>
      <c r="U269">
        <v>0</v>
      </c>
      <c r="V269">
        <v>0</v>
      </c>
      <c r="W269">
        <v>0</v>
      </c>
      <c r="X269">
        <v>0</v>
      </c>
      <c r="Y269" s="5" t="s">
        <v>40</v>
      </c>
      <c r="Z269">
        <v>0</v>
      </c>
      <c r="AA269" s="5">
        <v>0</v>
      </c>
      <c r="AB269" s="5">
        <v>0</v>
      </c>
      <c r="AC269" s="5">
        <v>0</v>
      </c>
      <c r="AD269" s="5">
        <v>0</v>
      </c>
      <c r="AE269" s="5">
        <v>0</v>
      </c>
    </row>
    <row r="270">
      <c r="A270" s="2" t="str">
        <f>HYPERLINK("https://www.avito.ru/voloshovo/uslugi/priem_metalla_sdat_lom_vyvoz_loma_8023560257","8023560257")</f>
      </c>
      <c r="B270" t="s">
        <v>73</v>
      </c>
      <c r="C270" t="s">
        <v>241</v>
      </c>
      <c r="D270" t="s">
        <v>242</v>
      </c>
      <c r="E270" t="s">
        <v>34</v>
      </c>
      <c r="F270" t="s">
        <v>35</v>
      </c>
      <c r="G270" t="s">
        <v>36</v>
      </c>
      <c r="H270" s="3" t="str">
        <f>HYPERLINK("https://www.avito.ru/voloshovo/uslugi/priem_metalla_sdat_lom_vyvoz_loma_8023560257","Приём металла /Сдать лом / Вывоз лома")</f>
      </c>
      <c r="I270" t="s">
        <v>78</v>
      </c>
      <c r="J270" t="s">
        <v>38</v>
      </c>
      <c r="K270" t="s">
        <v>39</v>
      </c>
      <c r="L270">
        <v>4</v>
      </c>
      <c r="M270" t="s">
        <v>40</v>
      </c>
      <c r="N270">
        <v>3</v>
      </c>
      <c r="O270" s="4">
        <v>0</v>
      </c>
      <c r="P270">
        <v>0</v>
      </c>
      <c r="Q270" s="5" t="s">
        <v>40</v>
      </c>
      <c r="R270" s="4" t="s">
        <v>40</v>
      </c>
      <c r="S270">
        <v>0</v>
      </c>
      <c r="T270">
        <v>0</v>
      </c>
      <c r="U270">
        <v>0</v>
      </c>
      <c r="V270">
        <v>0</v>
      </c>
      <c r="W270">
        <v>0</v>
      </c>
      <c r="X270">
        <v>0</v>
      </c>
      <c r="Y270" s="5" t="s">
        <v>40</v>
      </c>
      <c r="Z270">
        <v>0</v>
      </c>
      <c r="AA270" s="5">
        <v>0</v>
      </c>
      <c r="AB270" s="5">
        <v>0</v>
      </c>
      <c r="AC270" s="5">
        <v>0</v>
      </c>
      <c r="AD270" s="5">
        <v>0</v>
      </c>
      <c r="AE270" s="5">
        <v>0</v>
      </c>
    </row>
    <row r="271">
      <c r="A271" s="2" t="str">
        <f>HYPERLINK("https://www.avito.ru/vysotsk/uslugi/priem_tsvetnogo_metalloloma_8023618945","8023618945")</f>
      </c>
      <c r="B271" t="s">
        <v>73</v>
      </c>
      <c r="C271" t="s">
        <v>210</v>
      </c>
      <c r="D271" t="s">
        <v>211</v>
      </c>
      <c r="E271" t="s">
        <v>34</v>
      </c>
      <c r="F271" t="s">
        <v>35</v>
      </c>
      <c r="G271" t="s">
        <v>36</v>
      </c>
      <c r="H271" s="3" t="str">
        <f>HYPERLINK("https://www.avito.ru/vysotsk/uslugi/priem_tsvetnogo_metalloloma_8023618945","Прием цветного металлолома")</f>
      </c>
      <c r="I271" t="s">
        <v>54</v>
      </c>
      <c r="J271" t="s">
        <v>38</v>
      </c>
      <c r="K271" t="s">
        <v>39</v>
      </c>
      <c r="L271">
        <v>4</v>
      </c>
      <c r="M271" t="s">
        <v>40</v>
      </c>
      <c r="N271">
        <v>4</v>
      </c>
      <c r="O271" s="4">
        <v>0</v>
      </c>
      <c r="P271">
        <v>0</v>
      </c>
      <c r="Q271" s="5" t="s">
        <v>40</v>
      </c>
      <c r="R271" s="4" t="s">
        <v>40</v>
      </c>
      <c r="S271">
        <v>0</v>
      </c>
      <c r="T271">
        <v>0</v>
      </c>
      <c r="U271">
        <v>0</v>
      </c>
      <c r="V271">
        <v>0</v>
      </c>
      <c r="W271">
        <v>0</v>
      </c>
      <c r="X271">
        <v>0</v>
      </c>
      <c r="Y271" s="5" t="s">
        <v>40</v>
      </c>
      <c r="Z271">
        <v>0</v>
      </c>
      <c r="AA271" s="5">
        <v>0</v>
      </c>
      <c r="AB271" s="5">
        <v>0</v>
      </c>
      <c r="AC271" s="5">
        <v>0</v>
      </c>
      <c r="AD271" s="5">
        <v>0</v>
      </c>
      <c r="AE271" s="5">
        <v>0</v>
      </c>
    </row>
    <row r="272">
      <c r="A272" s="2" t="str">
        <f>HYPERLINK("https://www.avito.ru/svetogorsk/uslugi/priem_metalloloma_skupka_metalla_8023622866","8023622866")</f>
      </c>
      <c r="B272" t="s">
        <v>73</v>
      </c>
      <c r="C272" t="s">
        <v>238</v>
      </c>
      <c r="D272" t="s">
        <v>238</v>
      </c>
      <c r="E272" t="s">
        <v>34</v>
      </c>
      <c r="F272" t="s">
        <v>35</v>
      </c>
      <c r="G272" t="s">
        <v>36</v>
      </c>
      <c r="H272" s="3" t="str">
        <f>HYPERLINK("https://www.avito.ru/svetogorsk/uslugi/priem_metalloloma_skupka_metalla_8023622866","Прием металлолома / Скупка металла")</f>
      </c>
      <c r="I272" t="s">
        <v>95</v>
      </c>
      <c r="J272" t="s">
        <v>38</v>
      </c>
      <c r="K272" t="s">
        <v>39</v>
      </c>
      <c r="L272">
        <v>4</v>
      </c>
      <c r="M272" t="s">
        <v>40</v>
      </c>
      <c r="N272">
        <v>2</v>
      </c>
      <c r="O272" s="4">
        <v>0</v>
      </c>
      <c r="P272">
        <v>0</v>
      </c>
      <c r="Q272" s="5" t="s">
        <v>40</v>
      </c>
      <c r="R272" s="4" t="s">
        <v>40</v>
      </c>
      <c r="S272">
        <v>0</v>
      </c>
      <c r="T272">
        <v>0</v>
      </c>
      <c r="U272">
        <v>0</v>
      </c>
      <c r="V272">
        <v>0</v>
      </c>
      <c r="W272">
        <v>0</v>
      </c>
      <c r="X272">
        <v>0</v>
      </c>
      <c r="Y272" s="5" t="s">
        <v>40</v>
      </c>
      <c r="Z272">
        <v>0</v>
      </c>
      <c r="AA272" s="5">
        <v>0</v>
      </c>
      <c r="AB272" s="5">
        <v>0</v>
      </c>
      <c r="AC272" s="5">
        <v>0</v>
      </c>
      <c r="AD272" s="5">
        <v>0</v>
      </c>
      <c r="AE272" s="5">
        <v>0</v>
      </c>
    </row>
    <row r="273">
      <c r="A273" s="2" t="str">
        <f>HYPERLINK("https://www.avito.ru/leningradskaya_oblast_kirovsk/uslugi/priem_metalloloma_priem_chernogo_loma_opt_8023645741","8023645741")</f>
      </c>
      <c r="B273" t="s">
        <v>73</v>
      </c>
      <c r="C273" t="s">
        <v>199</v>
      </c>
      <c r="D273" t="s">
        <v>200</v>
      </c>
      <c r="E273" t="s">
        <v>34</v>
      </c>
      <c r="F273" t="s">
        <v>35</v>
      </c>
      <c r="G273" t="s">
        <v>36</v>
      </c>
      <c r="H273" s="3" t="str">
        <f>HYPERLINK("https://www.avito.ru/leningradskaya_oblast_kirovsk/uslugi/priem_metalloloma_priem_chernogo_loma_opt_8023645741","Прием металлолома / Прием черного лома опт")</f>
      </c>
      <c r="I273" t="s">
        <v>47</v>
      </c>
      <c r="J273" t="s">
        <v>38</v>
      </c>
      <c r="K273" t="s">
        <v>39</v>
      </c>
      <c r="L273">
        <v>4</v>
      </c>
      <c r="M273" t="s">
        <v>40</v>
      </c>
      <c r="N273">
        <v>9</v>
      </c>
      <c r="O273" s="4">
        <v>0</v>
      </c>
      <c r="P273">
        <v>0</v>
      </c>
      <c r="Q273" s="5" t="s">
        <v>40</v>
      </c>
      <c r="R273" s="4" t="s">
        <v>40</v>
      </c>
      <c r="S273">
        <v>0</v>
      </c>
      <c r="T273">
        <v>0</v>
      </c>
      <c r="U273">
        <v>0</v>
      </c>
      <c r="V273">
        <v>0</v>
      </c>
      <c r="W273">
        <v>0</v>
      </c>
      <c r="X273">
        <v>0</v>
      </c>
      <c r="Y273" s="5" t="s">
        <v>40</v>
      </c>
      <c r="Z273">
        <v>0</v>
      </c>
      <c r="AA273" s="5">
        <v>0</v>
      </c>
      <c r="AB273" s="5">
        <v>0</v>
      </c>
      <c r="AC273" s="5">
        <v>0</v>
      </c>
      <c r="AD273" s="5">
        <v>0</v>
      </c>
      <c r="AE273" s="5">
        <v>0</v>
      </c>
    </row>
    <row r="274">
      <c r="A274" s="2" t="str">
        <f>HYPERLINK("https://www.avito.ru/voloshovo/uslugi/priem_metalloloma_priem_chernogo_loma_opt_8023666843","8023666843")</f>
      </c>
      <c r="B274" t="s">
        <v>73</v>
      </c>
      <c r="C274" t="s">
        <v>241</v>
      </c>
      <c r="D274" t="s">
        <v>242</v>
      </c>
      <c r="E274" t="s">
        <v>34</v>
      </c>
      <c r="F274" t="s">
        <v>35</v>
      </c>
      <c r="G274" t="s">
        <v>36</v>
      </c>
      <c r="H274" s="3" t="str">
        <f>HYPERLINK("https://www.avito.ru/voloshovo/uslugi/priem_metalloloma_priem_chernogo_loma_opt_8023666843","Прием металлолома / Прием черного лома опт")</f>
      </c>
      <c r="I274" t="s">
        <v>37</v>
      </c>
      <c r="J274" t="s">
        <v>38</v>
      </c>
      <c r="K274" t="s">
        <v>39</v>
      </c>
      <c r="L274">
        <v>4</v>
      </c>
      <c r="M274" t="s">
        <v>40</v>
      </c>
      <c r="N274">
        <v>2</v>
      </c>
      <c r="O274" s="4">
        <v>0</v>
      </c>
      <c r="P274">
        <v>0</v>
      </c>
      <c r="Q274" s="5" t="s">
        <v>40</v>
      </c>
      <c r="R274" s="4" t="s">
        <v>40</v>
      </c>
      <c r="S274">
        <v>0</v>
      </c>
      <c r="T274">
        <v>0</v>
      </c>
      <c r="U274">
        <v>0</v>
      </c>
      <c r="V274">
        <v>0</v>
      </c>
      <c r="W274">
        <v>0</v>
      </c>
      <c r="X274">
        <v>0</v>
      </c>
      <c r="Y274" s="5" t="s">
        <v>40</v>
      </c>
      <c r="Z274">
        <v>0</v>
      </c>
      <c r="AA274" s="5">
        <v>0</v>
      </c>
      <c r="AB274" s="5">
        <v>0</v>
      </c>
      <c r="AC274" s="5">
        <v>0</v>
      </c>
      <c r="AD274" s="5">
        <v>0</v>
      </c>
      <c r="AE274" s="5">
        <v>0</v>
      </c>
    </row>
    <row r="275">
      <c r="A275" s="2" t="str">
        <f>HYPERLINK("https://www.avito.ru/svetogorsk/uslugi/priem_loma_tsvetnyh_metallov_8023702606","8023702606")</f>
      </c>
      <c r="B275" t="s">
        <v>73</v>
      </c>
      <c r="C275" t="s">
        <v>238</v>
      </c>
      <c r="D275" t="s">
        <v>238</v>
      </c>
      <c r="E275" t="s">
        <v>34</v>
      </c>
      <c r="F275" t="s">
        <v>35</v>
      </c>
      <c r="G275" t="s">
        <v>36</v>
      </c>
      <c r="H275" s="3" t="str">
        <f>HYPERLINK("https://www.avito.ru/svetogorsk/uslugi/priem_loma_tsvetnyh_metallov_8023702606","Прием лома цветных металлов")</f>
      </c>
      <c r="I275" t="s">
        <v>72</v>
      </c>
      <c r="J275" t="s">
        <v>38</v>
      </c>
      <c r="K275" t="s">
        <v>39</v>
      </c>
      <c r="L275">
        <v>4</v>
      </c>
      <c r="M275" t="s">
        <v>40</v>
      </c>
      <c r="N275">
        <v>5</v>
      </c>
      <c r="O275" s="4">
        <v>0</v>
      </c>
      <c r="P275">
        <v>0</v>
      </c>
      <c r="Q275" s="5" t="s">
        <v>40</v>
      </c>
      <c r="R275" s="4" t="s">
        <v>40</v>
      </c>
      <c r="S275">
        <v>0</v>
      </c>
      <c r="T275">
        <v>0</v>
      </c>
      <c r="U275">
        <v>0</v>
      </c>
      <c r="V275">
        <v>0</v>
      </c>
      <c r="W275">
        <v>0</v>
      </c>
      <c r="X275">
        <v>0</v>
      </c>
      <c r="Y275" s="5" t="s">
        <v>40</v>
      </c>
      <c r="Z275">
        <v>0</v>
      </c>
      <c r="AA275" s="5">
        <v>0</v>
      </c>
      <c r="AB275" s="5">
        <v>0</v>
      </c>
      <c r="AC275" s="5">
        <v>0</v>
      </c>
      <c r="AD275" s="5">
        <v>0</v>
      </c>
      <c r="AE275" s="5">
        <v>0</v>
      </c>
    </row>
    <row r="276">
      <c r="A276" s="2" t="str">
        <f>HYPERLINK("https://www.avito.ru/leningradskaya_oblast_otradnoe/uslugi/priem_metalloloma_priem_chernogo_loma_8023750099","8023750099")</f>
      </c>
      <c r="B276" t="s">
        <v>73</v>
      </c>
      <c r="C276" t="s">
        <v>239</v>
      </c>
      <c r="D276" t="s">
        <v>240</v>
      </c>
      <c r="E276" t="s">
        <v>34</v>
      </c>
      <c r="F276" t="s">
        <v>35</v>
      </c>
      <c r="G276" t="s">
        <v>36</v>
      </c>
      <c r="H276" s="3" t="str">
        <f>HYPERLINK("https://www.avito.ru/leningradskaya_oblast_otradnoe/uslugi/priem_metalloloma_priem_chernogo_loma_8023750099","Прием металлолома / Прием черного лома")</f>
      </c>
      <c r="I276" t="s">
        <v>41</v>
      </c>
      <c r="J276" t="s">
        <v>38</v>
      </c>
      <c r="K276" t="s">
        <v>39</v>
      </c>
      <c r="L276">
        <v>4</v>
      </c>
      <c r="M276" t="s">
        <v>40</v>
      </c>
      <c r="N276">
        <v>5</v>
      </c>
      <c r="O276" s="4">
        <v>0</v>
      </c>
      <c r="P276">
        <v>0</v>
      </c>
      <c r="Q276" s="5" t="s">
        <v>40</v>
      </c>
      <c r="R276" s="4" t="s">
        <v>40</v>
      </c>
      <c r="S276">
        <v>0</v>
      </c>
      <c r="T276">
        <v>0</v>
      </c>
      <c r="U276">
        <v>0</v>
      </c>
      <c r="V276">
        <v>0</v>
      </c>
      <c r="W276">
        <v>0</v>
      </c>
      <c r="X276">
        <v>0</v>
      </c>
      <c r="Y276" s="5" t="s">
        <v>40</v>
      </c>
      <c r="Z276">
        <v>0</v>
      </c>
      <c r="AA276" s="5">
        <v>0</v>
      </c>
      <c r="AB276" s="5">
        <v>0</v>
      </c>
      <c r="AC276" s="5">
        <v>0</v>
      </c>
      <c r="AD276" s="5">
        <v>0</v>
      </c>
      <c r="AE276" s="5">
        <v>0</v>
      </c>
    </row>
    <row r="277">
      <c r="A277" s="2" t="str">
        <f>HYPERLINK("https://www.avito.ru/kingisepp/uslugi/priem_metalloloma_priem_tsvetnogo_loma_8023761604","8023761604")</f>
      </c>
      <c r="B277" t="s">
        <v>73</v>
      </c>
      <c r="C277" t="s">
        <v>201</v>
      </c>
      <c r="D277" t="s">
        <v>202</v>
      </c>
      <c r="E277" t="s">
        <v>34</v>
      </c>
      <c r="F277" t="s">
        <v>35</v>
      </c>
      <c r="G277" t="s">
        <v>36</v>
      </c>
      <c r="H277" s="3" t="str">
        <f>HYPERLINK("https://www.avito.ru/kingisepp/uslugi/priem_metalloloma_priem_tsvetnogo_loma_8023761604","Прием металлолома / Прием цветного лома")</f>
      </c>
      <c r="I277" t="s">
        <v>65</v>
      </c>
      <c r="J277" t="s">
        <v>38</v>
      </c>
      <c r="K277" t="s">
        <v>39</v>
      </c>
      <c r="L277">
        <v>4</v>
      </c>
      <c r="M277" t="s">
        <v>40</v>
      </c>
      <c r="N277">
        <v>7</v>
      </c>
      <c r="O277" s="4">
        <v>0</v>
      </c>
      <c r="P277">
        <v>0</v>
      </c>
      <c r="Q277" s="5" t="s">
        <v>40</v>
      </c>
      <c r="R277" s="4" t="s">
        <v>40</v>
      </c>
      <c r="S277">
        <v>0</v>
      </c>
      <c r="T277">
        <v>0</v>
      </c>
      <c r="U277">
        <v>0</v>
      </c>
      <c r="V277">
        <v>0</v>
      </c>
      <c r="W277">
        <v>0</v>
      </c>
      <c r="X277">
        <v>0</v>
      </c>
      <c r="Y277" s="5" t="s">
        <v>40</v>
      </c>
      <c r="Z277">
        <v>0</v>
      </c>
      <c r="AA277" s="5">
        <v>0</v>
      </c>
      <c r="AB277" s="5">
        <v>0</v>
      </c>
      <c r="AC277" s="5">
        <v>0</v>
      </c>
      <c r="AD277" s="5">
        <v>0</v>
      </c>
      <c r="AE277" s="5">
        <v>0</v>
      </c>
    </row>
    <row r="278">
      <c r="A278" s="2" t="str">
        <f>HYPERLINK("https://www.avito.ru/kudrovo/uslugi/priem_i_vyvoz_metalloloma_sdat_lom_8023802258","8023802258")</f>
      </c>
      <c r="B278" t="s">
        <v>73</v>
      </c>
      <c r="C278" t="s">
        <v>205</v>
      </c>
      <c r="D278" t="s">
        <v>206</v>
      </c>
      <c r="E278" t="s">
        <v>34</v>
      </c>
      <c r="F278" t="s">
        <v>35</v>
      </c>
      <c r="G278" t="s">
        <v>36</v>
      </c>
      <c r="H278" s="3" t="str">
        <f>HYPERLINK("https://www.avito.ru/kudrovo/uslugi/priem_i_vyvoz_metalloloma_sdat_lom_8023802258","Прием и вывоз металлолома / Сдать лом")</f>
      </c>
      <c r="I278" t="s">
        <v>78</v>
      </c>
      <c r="J278" t="s">
        <v>38</v>
      </c>
      <c r="K278" t="s">
        <v>39</v>
      </c>
      <c r="L278">
        <v>4</v>
      </c>
      <c r="M278" t="s">
        <v>40</v>
      </c>
      <c r="N278">
        <v>3</v>
      </c>
      <c r="O278" s="4">
        <v>0</v>
      </c>
      <c r="P278">
        <v>0</v>
      </c>
      <c r="Q278" s="5" t="s">
        <v>40</v>
      </c>
      <c r="R278" s="4" t="s">
        <v>40</v>
      </c>
      <c r="S278">
        <v>0</v>
      </c>
      <c r="T278">
        <v>0</v>
      </c>
      <c r="U278">
        <v>0</v>
      </c>
      <c r="V278">
        <v>0</v>
      </c>
      <c r="W278">
        <v>0</v>
      </c>
      <c r="X278">
        <v>0</v>
      </c>
      <c r="Y278" s="5" t="s">
        <v>40</v>
      </c>
      <c r="Z278">
        <v>0</v>
      </c>
      <c r="AA278" s="5">
        <v>0</v>
      </c>
      <c r="AB278" s="5">
        <v>0</v>
      </c>
      <c r="AC278" s="5">
        <v>0</v>
      </c>
      <c r="AD278" s="5">
        <v>0</v>
      </c>
      <c r="AE278" s="5">
        <v>0</v>
      </c>
    </row>
    <row r="279">
      <c r="A279" s="2" t="str">
        <f>HYPERLINK("https://www.avito.ru/leningradskaya_oblast_sosnovyy_bor/uslugi/priem_metalla_demontazh_priem_metalloloma_8023815469","8023815469")</f>
      </c>
      <c r="B279" t="s">
        <v>73</v>
      </c>
      <c r="C279" t="s">
        <v>173</v>
      </c>
      <c r="D279" t="s">
        <v>174</v>
      </c>
      <c r="E279" t="s">
        <v>34</v>
      </c>
      <c r="F279" t="s">
        <v>35</v>
      </c>
      <c r="G279" t="s">
        <v>36</v>
      </c>
      <c r="H279" s="3" t="str">
        <f>HYPERLINK("https://www.avito.ru/leningradskaya_oblast_sosnovyy_bor/uslugi/priem_metalla_demontazh_priem_metalloloma_8023815469","Прием металла / Демонтаж / Прием металлолома")</f>
      </c>
      <c r="I279" t="s">
        <v>78</v>
      </c>
      <c r="J279" t="s">
        <v>38</v>
      </c>
      <c r="K279" t="s">
        <v>39</v>
      </c>
      <c r="L279">
        <v>4</v>
      </c>
      <c r="M279" t="s">
        <v>40</v>
      </c>
      <c r="N279">
        <v>7</v>
      </c>
      <c r="O279" s="4">
        <v>0</v>
      </c>
      <c r="P279">
        <v>0</v>
      </c>
      <c r="Q279" s="5" t="s">
        <v>40</v>
      </c>
      <c r="R279" s="4" t="s">
        <v>40</v>
      </c>
      <c r="S279">
        <v>0</v>
      </c>
      <c r="T279">
        <v>0</v>
      </c>
      <c r="U279">
        <v>0</v>
      </c>
      <c r="V279">
        <v>0</v>
      </c>
      <c r="W279">
        <v>0</v>
      </c>
      <c r="X279">
        <v>0</v>
      </c>
      <c r="Y279" s="5" t="s">
        <v>40</v>
      </c>
      <c r="Z279">
        <v>0</v>
      </c>
      <c r="AA279" s="5">
        <v>0</v>
      </c>
      <c r="AB279" s="5">
        <v>0</v>
      </c>
      <c r="AC279" s="5">
        <v>0</v>
      </c>
      <c r="AD279" s="5">
        <v>0</v>
      </c>
      <c r="AE279" s="5">
        <v>0</v>
      </c>
    </row>
    <row r="280">
      <c r="A280" s="2" t="str">
        <f>HYPERLINK("https://www.avito.ru/kirishi/uslugi/priem_loma_priem_tsvetnogo_loma_priem_chermeta_8023831799","8023831799")</f>
      </c>
      <c r="B280" t="s">
        <v>73</v>
      </c>
      <c r="C280" t="s">
        <v>166</v>
      </c>
      <c r="D280" t="s">
        <v>167</v>
      </c>
      <c r="E280" t="s">
        <v>34</v>
      </c>
      <c r="F280" t="s">
        <v>35</v>
      </c>
      <c r="G280" t="s">
        <v>36</v>
      </c>
      <c r="H280" s="3" t="str">
        <f>HYPERLINK("https://www.avito.ru/kirishi/uslugi/priem_loma_priem_tsvetnogo_loma_priem_chermeta_8023831799","Прием лома / Прием цветного лома / Прием чермета")</f>
      </c>
      <c r="I280" t="s">
        <v>151</v>
      </c>
      <c r="J280" t="s">
        <v>38</v>
      </c>
      <c r="K280" t="s">
        <v>39</v>
      </c>
      <c r="L280">
        <v>4</v>
      </c>
      <c r="M280" t="s">
        <v>40</v>
      </c>
      <c r="N280">
        <v>5</v>
      </c>
      <c r="O280" s="4">
        <v>0</v>
      </c>
      <c r="P280">
        <v>0</v>
      </c>
      <c r="Q280" s="5" t="s">
        <v>40</v>
      </c>
      <c r="R280" s="4" t="s">
        <v>40</v>
      </c>
      <c r="S280">
        <v>0</v>
      </c>
      <c r="T280">
        <v>0</v>
      </c>
      <c r="U280">
        <v>0</v>
      </c>
      <c r="V280">
        <v>0</v>
      </c>
      <c r="W280">
        <v>0</v>
      </c>
      <c r="X280">
        <v>0</v>
      </c>
      <c r="Y280" s="5" t="s">
        <v>40</v>
      </c>
      <c r="Z280">
        <v>0</v>
      </c>
      <c r="AA280" s="5">
        <v>0</v>
      </c>
      <c r="AB280" s="5">
        <v>0</v>
      </c>
      <c r="AC280" s="5">
        <v>0</v>
      </c>
      <c r="AD280" s="5">
        <v>0</v>
      </c>
      <c r="AE280" s="5">
        <v>0</v>
      </c>
    </row>
    <row r="281">
      <c r="A281" s="2" t="str">
        <f>HYPERLINK("https://www.avito.ru/sertolovo/uslugi/priem_metalloloma_priem_chernogo_loma_opt_8023841626","8023841626")</f>
      </c>
      <c r="B281" t="s">
        <v>73</v>
      </c>
      <c r="C281" t="s">
        <v>191</v>
      </c>
      <c r="D281" t="s">
        <v>192</v>
      </c>
      <c r="E281" t="s">
        <v>34</v>
      </c>
      <c r="F281" t="s">
        <v>35</v>
      </c>
      <c r="G281" t="s">
        <v>36</v>
      </c>
      <c r="H281" s="3" t="str">
        <f>HYPERLINK("https://www.avito.ru/sertolovo/uslugi/priem_metalloloma_priem_chernogo_loma_opt_8023841626","Прием металлолома / Прием черного лома опт")</f>
      </c>
      <c r="I281" t="s">
        <v>47</v>
      </c>
      <c r="J281" t="s">
        <v>38</v>
      </c>
      <c r="K281" t="s">
        <v>39</v>
      </c>
      <c r="L281">
        <v>4</v>
      </c>
      <c r="M281" t="s">
        <v>40</v>
      </c>
      <c r="N281">
        <v>5</v>
      </c>
      <c r="O281" s="4">
        <v>0</v>
      </c>
      <c r="P281">
        <v>0</v>
      </c>
      <c r="Q281" s="5" t="s">
        <v>40</v>
      </c>
      <c r="R281" s="4" t="s">
        <v>40</v>
      </c>
      <c r="S281">
        <v>0</v>
      </c>
      <c r="T281">
        <v>0</v>
      </c>
      <c r="U281">
        <v>0</v>
      </c>
      <c r="V281">
        <v>0</v>
      </c>
      <c r="W281">
        <v>0</v>
      </c>
      <c r="X281">
        <v>0</v>
      </c>
      <c r="Y281" s="5" t="s">
        <v>40</v>
      </c>
      <c r="Z281">
        <v>0</v>
      </c>
      <c r="AA281" s="5">
        <v>0</v>
      </c>
      <c r="AB281" s="5">
        <v>0</v>
      </c>
      <c r="AC281" s="5">
        <v>0</v>
      </c>
      <c r="AD281" s="5">
        <v>0</v>
      </c>
      <c r="AE281" s="5">
        <v>0</v>
      </c>
    </row>
    <row r="282">
      <c r="A282" s="2" t="str">
        <f>HYPERLINK("https://www.avito.ru/shlisselburg/uslugi/priem_tsvetnogo_metalloloma_8023870042","8023870042")</f>
      </c>
      <c r="B282" t="s">
        <v>73</v>
      </c>
      <c r="C282" t="s">
        <v>225</v>
      </c>
      <c r="D282" t="s">
        <v>226</v>
      </c>
      <c r="E282" t="s">
        <v>34</v>
      </c>
      <c r="F282" t="s">
        <v>35</v>
      </c>
      <c r="G282" t="s">
        <v>36</v>
      </c>
      <c r="H282" s="3" t="str">
        <f>HYPERLINK("https://www.avito.ru/shlisselburg/uslugi/priem_tsvetnogo_metalloloma_8023870042","Прием цветного металлолома")</f>
      </c>
      <c r="I282" t="s">
        <v>47</v>
      </c>
      <c r="J282" t="s">
        <v>38</v>
      </c>
      <c r="K282" t="s">
        <v>39</v>
      </c>
      <c r="L282">
        <v>4</v>
      </c>
      <c r="M282" t="s">
        <v>40</v>
      </c>
      <c r="N282">
        <v>2</v>
      </c>
      <c r="O282" s="4">
        <v>0</v>
      </c>
      <c r="P282">
        <v>0</v>
      </c>
      <c r="Q282" s="5" t="s">
        <v>40</v>
      </c>
      <c r="R282" s="4" t="s">
        <v>40</v>
      </c>
      <c r="S282">
        <v>0</v>
      </c>
      <c r="T282">
        <v>0</v>
      </c>
      <c r="U282">
        <v>0</v>
      </c>
      <c r="V282">
        <v>0</v>
      </c>
      <c r="W282">
        <v>0</v>
      </c>
      <c r="X282">
        <v>0</v>
      </c>
      <c r="Y282" s="5" t="s">
        <v>40</v>
      </c>
      <c r="Z282">
        <v>0</v>
      </c>
      <c r="AA282" s="5">
        <v>0</v>
      </c>
      <c r="AB282" s="5">
        <v>0</v>
      </c>
      <c r="AC282" s="5">
        <v>0</v>
      </c>
      <c r="AD282" s="5">
        <v>0</v>
      </c>
      <c r="AE282" s="5">
        <v>0</v>
      </c>
    </row>
  </sheetData>
  <autoFilter ref="$A$1:$AE$283"/>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