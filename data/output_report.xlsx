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дмин панель" sheetId="1" state="visible" r:id="rId1"/>
    <sheet name="Диаграмма" sheetId="2" state="visible" r:id="rId2"/>
    <sheet name="Недельный" sheetId="3" state="visible" r:id="rId3"/>
    <sheet name="Сводная" sheetId="4" state="visible" r:id="rId4"/>
  </sheets>
  <definedNames>
    <definedName name="_xlnm._FilterDatabase" localSheetId="0" hidden="1">'Админ панель'!$A$1:$H$282</definedName>
    <definedName name="_xlnm._FilterDatabase" localSheetId="1" hidden="1">'Диаграмма'!$A$1:$E$282</definedName>
    <definedName name="_xlnm._FilterDatabase" localSheetId="2" hidden="1">'Недельный'!$A$1:$K$282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4F7F3F"/>
      </patternFill>
    </fill>
    <fill>
      <patternFill patternType="solid">
        <fgColor rgb="00DCE6F1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D9D9D9"/>
      </right>
      <top style="thin">
        <color rgb="00BFBFBF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BFBFBF"/>
      </top>
      <bottom style="thin">
        <color rgb="00D9D9D9"/>
      </bottom>
    </border>
    <border>
      <left style="thin">
        <color rgb="00D9D9D9"/>
      </left>
      <right style="thin">
        <color rgb="00BFBFBF"/>
      </right>
      <top style="thin">
        <color rgb="00BFBFBF"/>
      </top>
      <bottom style="thin">
        <color rgb="00D9D9D9"/>
      </bottom>
    </border>
    <border>
      <left style="thin">
        <color rgb="00BFBFBF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BFBFBF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D9D9D9"/>
      </right>
      <top style="thin">
        <color rgb="00D9D9D9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BFBFBF"/>
      </bottom>
    </border>
    <border>
      <left style="thin">
        <color rgb="00D9D9D9"/>
      </left>
      <right style="thin">
        <color rgb="00BFBFBF"/>
      </right>
      <top style="thin">
        <color rgb="00D9D9D9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6" applyAlignment="1" pivotButton="0" quotePrefix="0" xfId="0">
      <alignment horizontal="right" vertical="center"/>
    </xf>
    <xf numFmtId="0" fontId="2" fillId="0" borderId="7" applyAlignment="1" pivotButton="0" quotePrefix="0" xfId="0">
      <alignment horizontal="left" vertical="center"/>
    </xf>
    <xf numFmtId="0" fontId="2" fillId="0" borderId="9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right" vertical="center"/>
    </xf>
    <xf numFmtId="10" fontId="2" fillId="0" borderId="5" applyAlignment="1" pivotButton="0" quotePrefix="0" xfId="0">
      <alignment horizontal="center" vertical="center"/>
    </xf>
    <xf numFmtId="2" fontId="2" fillId="0" borderId="5" applyAlignment="1" pivotButton="0" quotePrefix="0" xfId="0">
      <alignment horizontal="right" vertical="center"/>
    </xf>
    <xf numFmtId="2" fontId="2" fillId="0" borderId="6" applyAlignment="1" pivotButton="0" quotePrefix="0" xfId="0">
      <alignment horizontal="right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right" vertical="center"/>
    </xf>
    <xf numFmtId="10" fontId="2" fillId="0" borderId="8" applyAlignment="1" pivotButton="0" quotePrefix="0" xfId="0">
      <alignment horizontal="center" vertical="center"/>
    </xf>
    <xf numFmtId="2" fontId="2" fillId="0" borderId="8" applyAlignment="1" pivotButton="0" quotePrefix="0" xfId="0">
      <alignment horizontal="right" vertical="center"/>
    </xf>
    <xf numFmtId="2" fontId="2" fillId="0" borderId="9" applyAlignment="1" pivotButton="0" quotePrefix="0" xfId="0">
      <alignment horizontal="right" vertical="center"/>
    </xf>
    <xf numFmtId="1" fontId="2" fillId="0" borderId="8" applyAlignment="1" pivotButton="0" quotePrefix="0" xfId="0">
      <alignment horizontal="right" vertical="center"/>
    </xf>
    <xf numFmtId="0" fontId="2" fillId="0" borderId="9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Количество объявлений</a:t>
            </a:r>
          </a:p>
        </rich>
      </tx>
    </title>
    <plotArea>
      <pieChart>
        <varyColors val="1"/>
        <ser>
          <idx val="0"/>
          <order val="0"/>
          <tx>
            <strRef>
              <f>'Диаграмма'!G284</f>
            </strRef>
          </tx>
          <spPr>
            <a:ln>
              <a:prstDash val="solid"/>
            </a:ln>
          </spPr>
          <cat>
            <numRef>
              <f>'Диаграмма'!$A$285:$A$290</f>
            </numRef>
          </cat>
          <val>
            <numRef>
              <f>'Диаграмма'!$G$285:$G$290</f>
            </numRef>
          </val>
        </ser>
        <dLbls>
          <dLblPos val="bestFit"/>
          <showLegendKey val="0"/>
          <showVal val="1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v>Расходы</v>
          </tx>
          <spPr>
            <a:ln>
              <a:prstDash val="solid"/>
            </a:ln>
          </spPr>
          <dPt>
            <idx val="0"/>
            <spPr>
              <a:solidFill>
                <a:schemeClr val="accent2"/>
              </a:solidFill>
              <a:ln>
                <a:prstDash val="solid"/>
              </a:ln>
            </spPr>
          </dPt>
          <dPt>
            <idx val="1"/>
            <spPr>
              <a:solidFill>
                <a:schemeClr val="accent4"/>
              </a:solidFill>
              <a:ln>
                <a:prstDash val="solid"/>
              </a:ln>
            </spPr>
          </dPt>
          <dPt>
            <idx val="2"/>
            <spPr>
              <a:solidFill>
                <a:schemeClr val="accent3"/>
              </a:solidFill>
              <a:ln>
                <a:prstDash val="solid"/>
              </a:ln>
            </spPr>
          </dPt>
          <dPt>
            <idx val="3"/>
            <spPr>
              <a:solidFill>
                <a:schemeClr val="accent1"/>
              </a:solidFill>
              <a:ln>
                <a:prstDash val="solid"/>
              </a:ln>
            </spPr>
          </dPt>
          <dPt>
            <idx val="4"/>
            <spPr>
              <a:solidFill>
                <a:schemeClr val="accent1"/>
              </a:solidFill>
              <a:ln>
                <a:prstDash val="solid"/>
              </a:ln>
            </spPr>
          </dPt>
          <dPt>
            <idx val="5"/>
            <spPr>
              <a:solidFill>
                <a:schemeClr val="accent5"/>
              </a:solidFill>
              <a:ln>
                <a:prstDash val="solid"/>
              </a:ln>
            </spPr>
          </dPt>
          <dPt>
            <idx val="6"/>
            <spPr>
              <a:solidFill>
                <a:schemeClr val="accent6"/>
              </a:solidFill>
              <a:ln>
                <a:prstDash val="solid"/>
              </a:ln>
            </spPr>
          </dPt>
          <dPt>
            <idx val="7"/>
            <spPr>
              <a:solidFill>
                <a:schemeClr val="accent2"/>
              </a:solidFill>
              <a:ln>
                <a:prstDash val="solid"/>
              </a:ln>
            </spPr>
          </dPt>
          <dPt>
            <idx val="8"/>
            <spPr>
              <a:solidFill>
                <a:schemeClr val="accent3"/>
              </a:solidFill>
              <a:ln>
                <a:prstDash val="solid"/>
              </a:ln>
            </spPr>
          </dPt>
          <dPt>
            <idx val="9"/>
            <spPr>
              <a:solidFill>
                <a:schemeClr val="accent4"/>
              </a:solidFill>
              <a:ln>
                <a:prstDash val="solid"/>
              </a:ln>
            </spPr>
          </dPt>
          <dPt>
            <idx val="10"/>
            <spPr>
              <a:solidFill>
                <a:schemeClr val="accent5"/>
              </a:solidFill>
              <a:ln>
                <a:prstDash val="solid"/>
              </a:ln>
            </spPr>
          </dPt>
          <cat>
            <numRef>
              <f>'Диаграмма'!$A$316:$A$326</f>
            </numRef>
          </cat>
          <val>
            <numRef>
              <f>'Диаграмма'!$B$316:$B$326</f>
            </numRef>
          </val>
        </ser>
        <dLbls>
          <dLblPos val="outEnd"/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283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314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66" customWidth="1" min="1" max="1"/>
    <col width="47.33" customWidth="1" min="2" max="2"/>
    <col width="21.33" customWidth="1" min="3" max="3"/>
    <col width="24.11" customWidth="1" min="4" max="4"/>
    <col width="39.44" customWidth="1" min="5" max="5"/>
    <col width="21.66" customWidth="1" min="6" max="6"/>
    <col width="20.33" customWidth="1" min="7" max="7"/>
    <col width="13.55" customWidth="1" min="8" max="8"/>
  </cols>
  <sheetData>
    <row r="1">
      <c r="A1" s="1" t="inlineStr">
        <is>
          <t>Кабинет Авито</t>
        </is>
      </c>
      <c r="B1" s="2" t="inlineStr">
        <is>
          <t>Название</t>
        </is>
      </c>
      <c r="C1" s="2" t="inlineStr">
        <is>
          <t>Область</t>
        </is>
      </c>
      <c r="D1" s="2" t="inlineStr">
        <is>
          <t>Город</t>
        </is>
      </c>
      <c r="E1" s="2" t="inlineStr">
        <is>
          <t>Адрес</t>
        </is>
      </c>
      <c r="F1" s="2" t="inlineStr">
        <is>
          <t>Номер на Авито</t>
        </is>
      </c>
      <c r="G1" s="2" t="inlineStr">
        <is>
          <t>Куда переадресация</t>
        </is>
      </c>
      <c r="H1" s="3" t="inlineStr">
        <is>
          <t>ID объявления</t>
        </is>
      </c>
    </row>
    <row r="2">
      <c r="A2" s="4" t="inlineStr"/>
      <c r="B2" s="5">
        <f>HYPERLINK("https://www.avito.ru/velikie_luki/uslugi/priem_metalloloma_priem_chernogo_loma_8023244289","Прием металлолома / Прием черного лома")</f>
        <v/>
      </c>
      <c r="C2" s="6" t="inlineStr">
        <is>
          <t>Псковская область</t>
        </is>
      </c>
      <c r="D2" s="6" t="inlineStr">
        <is>
          <t>Великие Луки</t>
        </is>
      </c>
      <c r="E2" s="7" t="inlineStr">
        <is>
          <t>Великие Луки, Псковская ул., 1</t>
        </is>
      </c>
      <c r="F2" s="6" t="inlineStr"/>
      <c r="G2" s="6" t="inlineStr"/>
      <c r="H2" s="8">
        <f>HYPERLINK("https://www.avito.ru/velikie_luki/uslugi/priem_metalloloma_priem_chernogo_loma_8023244289","8023244289")</f>
        <v/>
      </c>
    </row>
    <row r="3">
      <c r="A3" s="4" t="inlineStr"/>
      <c r="B3" s="5">
        <f>HYPERLINK("https://www.avito.ru/velikie_luki/uslugi/priem_loma_tsvetnyh_metallov_8023438563","Прием лома цветных металлов")</f>
        <v/>
      </c>
      <c r="C3" s="6" t="inlineStr">
        <is>
          <t>Псковская область</t>
        </is>
      </c>
      <c r="D3" s="6" t="inlineStr">
        <is>
          <t>Великие Луки</t>
        </is>
      </c>
      <c r="E3" s="7" t="inlineStr">
        <is>
          <t>Великие Луки, Псковская ул., 1</t>
        </is>
      </c>
      <c r="F3" s="6" t="inlineStr"/>
      <c r="G3" s="6" t="inlineStr"/>
      <c r="H3" s="8">
        <f>HYPERLINK("https://www.avito.ru/velikie_luki/uslugi/priem_loma_tsvetnyh_metallov_8023438563","8023438563")</f>
        <v/>
      </c>
    </row>
    <row r="4">
      <c r="A4" s="4" t="inlineStr"/>
      <c r="B4" s="5">
        <f>HYPERLINK("https://www.avito.ru/velikiy_ustyug/uslugi/priem_metalloloma_priem_chernogo_loma_8023813595","Прием металлолома / Прием черного лома")</f>
        <v/>
      </c>
      <c r="C4" s="6" t="inlineStr">
        <is>
          <t>Вологодская область</t>
        </is>
      </c>
      <c r="D4" s="6" t="inlineStr">
        <is>
          <t>Великий Устюг</t>
        </is>
      </c>
      <c r="E4" s="7" t="inlineStr">
        <is>
          <t>Великий Устюг, Советский пр-т, 3</t>
        </is>
      </c>
      <c r="F4" s="6" t="inlineStr"/>
      <c r="G4" s="6" t="inlineStr"/>
      <c r="H4" s="8">
        <f>HYPERLINK("https://www.avito.ru/velikiy_ustyug/uslugi/priem_metalloloma_priem_chernogo_loma_8023813595","8023813595")</f>
        <v/>
      </c>
    </row>
    <row r="5">
      <c r="A5" s="4" t="inlineStr"/>
      <c r="B5" s="5">
        <f>HYPERLINK("https://www.avito.ru/vologda/uslugi/priem_metalloloma_priem_chernogo_loma_opt_8023342779","Прием металлолома / Прием черного лома опт")</f>
        <v/>
      </c>
      <c r="C5" s="6" t="inlineStr">
        <is>
          <t>Вологодская область</t>
        </is>
      </c>
      <c r="D5" s="6" t="inlineStr">
        <is>
          <t>Вологда</t>
        </is>
      </c>
      <c r="E5" s="7" t="inlineStr">
        <is>
          <t>Вологда, ул. Чернышевского, 141А</t>
        </is>
      </c>
      <c r="F5" s="6" t="inlineStr"/>
      <c r="G5" s="6" t="inlineStr"/>
      <c r="H5" s="8">
        <f>HYPERLINK("https://www.avito.ru/vologda/uslugi/priem_metalloloma_priem_chernogo_loma_opt_8023342779","8023342779")</f>
        <v/>
      </c>
    </row>
    <row r="6">
      <c r="A6" s="4" t="inlineStr"/>
      <c r="B6" s="5">
        <f>HYPERLINK("https://www.avito.ru/velikiy_ustyug/uslugi/priem_metalloloma_priem_tsvetnogo_loma_8023358866","Прием металлолома / Прием цветного лома")</f>
        <v/>
      </c>
      <c r="C6" s="6" t="inlineStr">
        <is>
          <t>Вологодская область</t>
        </is>
      </c>
      <c r="D6" s="6" t="inlineStr">
        <is>
          <t>Великий Устюг</t>
        </is>
      </c>
      <c r="E6" s="7" t="inlineStr">
        <is>
          <t>Великий Устюг, Советский пр-т, 3</t>
        </is>
      </c>
      <c r="F6" s="6" t="inlineStr"/>
      <c r="G6" s="6" t="inlineStr"/>
      <c r="H6" s="8">
        <f>HYPERLINK("https://www.avito.ru/velikiy_ustyug/uslugi/priem_metalloloma_priem_tsvetnogo_loma_8023358866","8023358866")</f>
        <v/>
      </c>
    </row>
    <row r="7">
      <c r="A7" s="4" t="inlineStr"/>
      <c r="B7" s="5">
        <f>HYPERLINK("https://www.avito.ru/staraya_russa/uslugi/priem_metalloloma_priem_chernogo_loma_opt_8023217367","Прием металлолома / Прием черного лома опт")</f>
        <v/>
      </c>
      <c r="C7" s="6" t="inlineStr">
        <is>
          <t>Новгородская область</t>
        </is>
      </c>
      <c r="D7" s="6" t="inlineStr">
        <is>
          <t>Старая Русса</t>
        </is>
      </c>
      <c r="E7" s="7" t="inlineStr">
        <is>
          <t>Старая Русса, ул. Кириллова</t>
        </is>
      </c>
      <c r="F7" s="6" t="inlineStr"/>
      <c r="G7" s="6" t="inlineStr"/>
      <c r="H7" s="8">
        <f>HYPERLINK("https://www.avito.ru/staraya_russa/uslugi/priem_metalloloma_priem_chernogo_loma_opt_8023217367","8023217367")</f>
        <v/>
      </c>
    </row>
    <row r="8">
      <c r="A8" s="4" t="inlineStr"/>
      <c r="B8" s="5">
        <f>HYPERLINK("https://www.avito.ru/petrozavodsk/uslugi/priem_metalloloma_priem_chernogo_loma_opt_8023699523","Прием металлолома / Прием черного лома опт")</f>
        <v/>
      </c>
      <c r="C8" s="6" t="inlineStr">
        <is>
          <t>Карелия</t>
        </is>
      </c>
      <c r="D8" s="6" t="inlineStr">
        <is>
          <t>Петрозаводск</t>
        </is>
      </c>
      <c r="E8" s="7" t="inlineStr">
        <is>
          <t>Петрозаводск, Прибрежный пер., 1</t>
        </is>
      </c>
      <c r="F8" s="6" t="inlineStr"/>
      <c r="G8" s="6" t="inlineStr"/>
      <c r="H8" s="8">
        <f>HYPERLINK("https://www.avito.ru/petrozavodsk/uslugi/priem_metalloloma_priem_chernogo_loma_opt_8023699523","8023699523")</f>
        <v/>
      </c>
    </row>
    <row r="9">
      <c r="A9" s="4" t="inlineStr"/>
      <c r="B9" s="5">
        <f>HYPERLINK("https://www.avito.ru/sankt-peterburg/uslugi/priem_i_vyvoz_metalla_priem_loma_7543519387","Прием и вывоз металла/ Прием лома")</f>
        <v/>
      </c>
      <c r="C9" s="6" t="inlineStr"/>
      <c r="D9" s="6" t="inlineStr">
        <is>
          <t>Санкт-Петербург</t>
        </is>
      </c>
      <c r="E9" s="7" t="inlineStr">
        <is>
          <t>Санкт-Петербург, пр-т Стачек, 70</t>
        </is>
      </c>
      <c r="F9" s="6" t="inlineStr"/>
      <c r="G9" s="6" t="inlineStr"/>
      <c r="H9" s="8">
        <f>HYPERLINK("https://www.avito.ru/sankt-peterburg/uslugi/priem_i_vyvoz_metalla_priem_loma_7543519387","7543519387")</f>
        <v/>
      </c>
    </row>
    <row r="10">
      <c r="A10" s="4" t="inlineStr"/>
      <c r="B10" s="5">
        <f>HYPERLINK("https://www.avito.ru/ostrov/uslugi/priem_tsvetnogo_metalloloma_8023060857","Прием цветного металлолома")</f>
        <v/>
      </c>
      <c r="C10" s="6" t="inlineStr">
        <is>
          <t>Псковская область</t>
        </is>
      </c>
      <c r="D10" s="6" t="inlineStr">
        <is>
          <t>Остров</t>
        </is>
      </c>
      <c r="E10" s="7" t="inlineStr">
        <is>
          <t>Остров, ул. Карла Маркса, 90Б</t>
        </is>
      </c>
      <c r="F10" s="6" t="inlineStr"/>
      <c r="G10" s="6" t="inlineStr"/>
      <c r="H10" s="8">
        <f>HYPERLINK("https://www.avito.ru/ostrov/uslugi/priem_tsvetnogo_metalloloma_8023060857","8023060857")</f>
        <v/>
      </c>
    </row>
    <row r="11">
      <c r="A11" s="4" t="inlineStr"/>
      <c r="B11" s="5">
        <f>HYPERLINK("https://www.avito.ru/valday/uslugi/priem_loma_tsvetnyh_metallov_8023592145","Прием лома цветных металлов")</f>
        <v/>
      </c>
      <c r="C11" s="6" t="inlineStr">
        <is>
          <t>Новгородская область</t>
        </is>
      </c>
      <c r="D11" s="6" t="inlineStr">
        <is>
          <t>Валдай</t>
        </is>
      </c>
      <c r="E11" s="7" t="inlineStr">
        <is>
          <t>Валдай, Новгородская ул., 3</t>
        </is>
      </c>
      <c r="F11" s="6" t="inlineStr"/>
      <c r="G11" s="6" t="inlineStr"/>
      <c r="H11" s="8">
        <f>HYPERLINK("https://www.avito.ru/valday/uslugi/priem_loma_tsvetnyh_metallov_8023592145","8023592145")</f>
        <v/>
      </c>
    </row>
    <row r="12">
      <c r="A12" s="4" t="inlineStr"/>
      <c r="B12" s="5">
        <f>HYPERLINK("https://www.avito.ru/sankt-peterburg/uslugi/priem_akkumulyatorov_ot_avto_7671561715","Приём аккумуляторов от авто")</f>
        <v/>
      </c>
      <c r="C12" s="6" t="inlineStr"/>
      <c r="D12" s="6" t="inlineStr">
        <is>
          <t>Санкт-Петербург</t>
        </is>
      </c>
      <c r="E12" s="7" t="inlineStr">
        <is>
          <t>Санкт-Петербург, Московская пл.</t>
        </is>
      </c>
      <c r="F12" s="6" t="inlineStr"/>
      <c r="G12" s="6" t="inlineStr"/>
      <c r="H12" s="8">
        <f>HYPERLINK("https://www.avito.ru/sankt-peterburg/uslugi/priem_akkumulyatorov_ot_avto_7671561715","7671561715")</f>
        <v/>
      </c>
    </row>
    <row r="13">
      <c r="A13" s="4" t="inlineStr"/>
      <c r="B13" s="5">
        <f>HYPERLINK("https://www.avito.ru/borovichi/uslugi/priem_loma_tsvetnyh_metallov_8023351436","Прием лома цветных металлов")</f>
        <v/>
      </c>
      <c r="C13" s="6" t="inlineStr">
        <is>
          <t>Новгородская область</t>
        </is>
      </c>
      <c r="D13" s="6" t="inlineStr">
        <is>
          <t>Боровичи</t>
        </is>
      </c>
      <c r="E13" s="7" t="inlineStr">
        <is>
          <t>Боровичи, Новгородская ул., 1</t>
        </is>
      </c>
      <c r="F13" s="6" t="inlineStr"/>
      <c r="G13" s="6" t="inlineStr"/>
      <c r="H13" s="8">
        <f>HYPERLINK("https://www.avito.ru/borovichi/uslugi/priem_loma_tsvetnyh_metallov_8023351436","8023351436")</f>
        <v/>
      </c>
    </row>
    <row r="14">
      <c r="A14" s="4" t="inlineStr"/>
      <c r="B14" s="5">
        <f>HYPERLINK("https://www.avito.ru/valday/uslugi/priem_metalloloma_priem_chernogo_loma_8023680622","Прием металлолома / Прием черного лома")</f>
        <v/>
      </c>
      <c r="C14" s="6" t="inlineStr">
        <is>
          <t>Новгородская область</t>
        </is>
      </c>
      <c r="D14" s="6" t="inlineStr">
        <is>
          <t>Валдай</t>
        </is>
      </c>
      <c r="E14" s="7" t="inlineStr">
        <is>
          <t>Валдай, Новгородская ул., 3</t>
        </is>
      </c>
      <c r="F14" s="6" t="inlineStr"/>
      <c r="G14" s="6" t="inlineStr"/>
      <c r="H14" s="8">
        <f>HYPERLINK("https://www.avito.ru/valday/uslugi/priem_metalloloma_priem_chernogo_loma_8023680622","8023680622")</f>
        <v/>
      </c>
    </row>
    <row r="15">
      <c r="A15" s="4" t="inlineStr"/>
      <c r="B15" s="5">
        <f>HYPERLINK("https://www.avito.ru/luga/uslugi/priem_tsvetnogo_metalloloma_8023863256","Прием цветного металлолома")</f>
        <v/>
      </c>
      <c r="C15" s="6" t="inlineStr">
        <is>
          <t>Ленинградская область</t>
        </is>
      </c>
      <c r="D15" s="6" t="inlineStr">
        <is>
          <t>Луга</t>
        </is>
      </c>
      <c r="E15" s="7" t="inlineStr">
        <is>
          <t>Луга, Старорусская ул., 13Г</t>
        </is>
      </c>
      <c r="F15" s="6" t="inlineStr"/>
      <c r="G15" s="6" t="inlineStr"/>
      <c r="H15" s="8">
        <f>HYPERLINK("https://www.avito.ru/luga/uslugi/priem_tsvetnogo_metalloloma_8023863256","8023863256")</f>
        <v/>
      </c>
    </row>
    <row r="16">
      <c r="A16" s="4" t="inlineStr"/>
      <c r="B16" s="5">
        <f>HYPERLINK("https://www.avito.ru/pskov/uslugi/priem_metalloloma_priem_tsvetnogo_loma_8023621404","Прием металлолома / Прием цветного лома")</f>
        <v/>
      </c>
      <c r="C16" s="6" t="inlineStr">
        <is>
          <t>Псковская область</t>
        </is>
      </c>
      <c r="D16" s="6" t="inlineStr">
        <is>
          <t>Псков</t>
        </is>
      </c>
      <c r="E16" s="7" t="inlineStr">
        <is>
          <t>Псков, Инженерная ул., 7</t>
        </is>
      </c>
      <c r="F16" s="6" t="inlineStr"/>
      <c r="G16" s="6" t="inlineStr"/>
      <c r="H16" s="8">
        <f>HYPERLINK("https://www.avito.ru/pskov/uslugi/priem_metalloloma_priem_tsvetnogo_loma_8023621404","8023621404")</f>
        <v/>
      </c>
    </row>
    <row r="17">
      <c r="A17" s="4" t="inlineStr"/>
      <c r="B17" s="5">
        <f>HYPERLINK("https://www.avito.ru/staraya_russa/uslugi/priem_tsvetnogo_metalloloma_8023280796","Прием цветного металлолома")</f>
        <v/>
      </c>
      <c r="C17" s="6" t="inlineStr">
        <is>
          <t>Новгородская область</t>
        </is>
      </c>
      <c r="D17" s="6" t="inlineStr">
        <is>
          <t>Старая Русса</t>
        </is>
      </c>
      <c r="E17" s="7" t="inlineStr">
        <is>
          <t>Старая Русса, ул. Кириллова</t>
        </is>
      </c>
      <c r="F17" s="6" t="inlineStr"/>
      <c r="G17" s="6" t="inlineStr"/>
      <c r="H17" s="8">
        <f>HYPERLINK("https://www.avito.ru/staraya_russa/uslugi/priem_tsvetnogo_metalloloma_8023280796","8023280796")</f>
        <v/>
      </c>
    </row>
    <row r="18">
      <c r="A18" s="4" t="inlineStr"/>
      <c r="B18" s="5">
        <f>HYPERLINK("https://www.avito.ru/luga/uslugi/priem_metalloloma_priem_chernogo_loma_opt_8023431202","Прием металлолома / Прием черного лома опт")</f>
        <v/>
      </c>
      <c r="C18" s="6" t="inlineStr">
        <is>
          <t>Ленинградская область</t>
        </is>
      </c>
      <c r="D18" s="6" t="inlineStr">
        <is>
          <t>Луга</t>
        </is>
      </c>
      <c r="E18" s="7" t="inlineStr">
        <is>
          <t>Луга, Старорусская ул., 13Г</t>
        </is>
      </c>
      <c r="F18" s="6" t="inlineStr"/>
      <c r="G18" s="6" t="inlineStr"/>
      <c r="H18" s="8">
        <f>HYPERLINK("https://www.avito.ru/luga/uslugi/priem_metalloloma_priem_chernogo_loma_opt_8023431202","8023431202")</f>
        <v/>
      </c>
    </row>
    <row r="19">
      <c r="A19" s="4" t="inlineStr"/>
      <c r="B19" s="5">
        <f>HYPERLINK("https://www.avito.ru/velikie_luki/uslugi/priem_metalloloma_priem_loma_demontazh_8023603190","Прием металлолома / Прием лома / Демонтаж")</f>
        <v/>
      </c>
      <c r="C19" s="6" t="inlineStr">
        <is>
          <t>Псковская область</t>
        </is>
      </c>
      <c r="D19" s="6" t="inlineStr">
        <is>
          <t>Великие Луки</t>
        </is>
      </c>
      <c r="E19" s="7" t="inlineStr">
        <is>
          <t>Великие Луки, Псковская ул., 1</t>
        </is>
      </c>
      <c r="F19" s="6" t="inlineStr"/>
      <c r="G19" s="6" t="inlineStr"/>
      <c r="H19" s="8">
        <f>HYPERLINK("https://www.avito.ru/velikie_luki/uslugi/priem_metalloloma_priem_loma_demontazh_8023603190","8023603190")</f>
        <v/>
      </c>
    </row>
    <row r="20">
      <c r="A20" s="4" t="inlineStr"/>
      <c r="B20" s="5">
        <f>HYPERLINK("https://www.avito.ru/sankt-peterburg/uslugi/priem_tsvetnogo_metalla_skupka_tsvetnogo_metalla_7703868215","Прием цветного металла / скупка цветного металла")</f>
        <v/>
      </c>
      <c r="C20" s="6" t="inlineStr"/>
      <c r="D20" s="6" t="inlineStr">
        <is>
          <t>Санкт-Петербург</t>
        </is>
      </c>
      <c r="E20" s="7" t="inlineStr">
        <is>
          <t>Санкт-Петербург, пл. Стачек</t>
        </is>
      </c>
      <c r="F20" s="6" t="inlineStr"/>
      <c r="G20" s="6" t="inlineStr"/>
      <c r="H20" s="8">
        <f>HYPERLINK("https://www.avito.ru/sankt-peterburg/uslugi/priem_tsvetnogo_metalla_skupka_tsvetnogo_metalla_7703868215","7703868215")</f>
        <v/>
      </c>
    </row>
    <row r="21">
      <c r="A21" s="4" t="inlineStr"/>
      <c r="B21" s="5">
        <f>HYPERLINK("https://www.avito.ru/gryazovets/uslugi/priem_metalloloma_priem_chernogo_loma_opt_8023702295","Прием металлолома / Прием черного лома опт")</f>
        <v/>
      </c>
      <c r="C21" s="6" t="inlineStr">
        <is>
          <t>Вологодская область</t>
        </is>
      </c>
      <c r="D21" s="6" t="inlineStr">
        <is>
          <t>Грязовец</t>
        </is>
      </c>
      <c r="E21" s="7" t="inlineStr">
        <is>
          <t>Грязовец, ул. Волкова, 11/2</t>
        </is>
      </c>
      <c r="F21" s="6" t="inlineStr"/>
      <c r="G21" s="6" t="inlineStr"/>
      <c r="H21" s="8">
        <f>HYPERLINK("https://www.avito.ru/gryazovets/uslugi/priem_metalloloma_priem_chernogo_loma_opt_8023702295","8023702295")</f>
        <v/>
      </c>
    </row>
    <row r="22">
      <c r="A22" s="4" t="inlineStr"/>
      <c r="B22" s="5">
        <f>HYPERLINK("https://www.avito.ru/sankt-peterburg/uslugi/priem_i_vyvoz_metalloloma_sdat_lom_8023060349","Прием и вывоз металлолома / Сдать лом")</f>
        <v/>
      </c>
      <c r="C22" s="6" t="inlineStr"/>
      <c r="D22" s="6" t="inlineStr">
        <is>
          <t>Санкт-Петербург</t>
        </is>
      </c>
      <c r="E22" s="7" t="inlineStr">
        <is>
          <t>Санкт-Петербург, пр-т Просвещения, 19</t>
        </is>
      </c>
      <c r="F22" s="6" t="inlineStr"/>
      <c r="G22" s="6" t="inlineStr"/>
      <c r="H22" s="8">
        <f>HYPERLINK("https://www.avito.ru/sankt-peterburg/uslugi/priem_i_vyvoz_metalloloma_sdat_lom_8023060349","8023060349")</f>
        <v/>
      </c>
    </row>
    <row r="23">
      <c r="A23" s="4" t="inlineStr"/>
      <c r="B23" s="5">
        <f>HYPERLINK("https://www.avito.ru/petrozavodsk/uslugi/priem_tsvetnogo_metalloloma_8023531905","Прием цветного металлолома")</f>
        <v/>
      </c>
      <c r="C23" s="6" t="inlineStr">
        <is>
          <t>Карелия</t>
        </is>
      </c>
      <c r="D23" s="6" t="inlineStr">
        <is>
          <t>Петрозаводск</t>
        </is>
      </c>
      <c r="E23" s="7" t="inlineStr">
        <is>
          <t>Петрозаводск, Прибрежный пер., 1</t>
        </is>
      </c>
      <c r="F23" s="6" t="inlineStr"/>
      <c r="G23" s="6" t="inlineStr"/>
      <c r="H23" s="8">
        <f>HYPERLINK("https://www.avito.ru/petrozavodsk/uslugi/priem_tsvetnogo_metalloloma_8023531905","8023531905")</f>
        <v/>
      </c>
    </row>
    <row r="24">
      <c r="A24" s="4" t="inlineStr"/>
      <c r="B24" s="5">
        <f>HYPERLINK("https://www.avito.ru/sankt-peterburg/uslugi/priem_akb_sdat_akb_7543139828","Прием АКБ / Сдать АКБ")</f>
        <v/>
      </c>
      <c r="C24" s="6" t="inlineStr"/>
      <c r="D24" s="6" t="inlineStr">
        <is>
          <t>Санкт-Петербург</t>
        </is>
      </c>
      <c r="E24" s="7" t="inlineStr">
        <is>
          <t>Санкт-Петербург, б-р Новаторов, 73к4А</t>
        </is>
      </c>
      <c r="F24" s="6" t="inlineStr"/>
      <c r="G24" s="6" t="inlineStr"/>
      <c r="H24" s="8">
        <f>HYPERLINK("https://www.avito.ru/sankt-peterburg/uslugi/priem_akb_sdat_akb_7543139828","7543139828")</f>
        <v/>
      </c>
    </row>
    <row r="25">
      <c r="A25" s="4" t="inlineStr"/>
      <c r="B25" s="5">
        <f>HYPERLINK("https://www.avito.ru/pskov/uslugi/priem_metalloloma_priem_chernogo_loma_8023637444","Прием металлолома / Прием черного лома")</f>
        <v/>
      </c>
      <c r="C25" s="6" t="inlineStr">
        <is>
          <t>Псковская область</t>
        </is>
      </c>
      <c r="D25" s="6" t="inlineStr">
        <is>
          <t>Псков</t>
        </is>
      </c>
      <c r="E25" s="7" t="inlineStr">
        <is>
          <t>Псков, Алмазная ул., 6</t>
        </is>
      </c>
      <c r="F25" s="6" t="inlineStr"/>
      <c r="G25" s="6" t="inlineStr"/>
      <c r="H25" s="8">
        <f>HYPERLINK("https://www.avito.ru/pskov/uslugi/priem_metalloloma_priem_chernogo_loma_8023637444","8023637444")</f>
        <v/>
      </c>
    </row>
    <row r="26">
      <c r="A26" s="4" t="inlineStr"/>
      <c r="B26" s="5">
        <f>HYPERLINK("https://www.avito.ru/cherepovets/uslugi/priem_loma_tsvetnyh_metallov_8023543552","Прием лома цветных металлов")</f>
        <v/>
      </c>
      <c r="C26" s="6" t="inlineStr">
        <is>
          <t>Вологодская область</t>
        </is>
      </c>
      <c r="D26" s="6" t="inlineStr">
        <is>
          <t>Череповец</t>
        </is>
      </c>
      <c r="E26" s="7" t="inlineStr">
        <is>
          <t>Череповец, Северное ш., 71А</t>
        </is>
      </c>
      <c r="F26" s="6" t="inlineStr"/>
      <c r="G26" s="6" t="inlineStr"/>
      <c r="H26" s="8">
        <f>HYPERLINK("https://www.avito.ru/cherepovets/uslugi/priem_loma_tsvetnyh_metallov_8023543552","8023543552")</f>
        <v/>
      </c>
    </row>
    <row r="27">
      <c r="A27" s="4" t="inlineStr"/>
      <c r="B27" s="5">
        <f>HYPERLINK("https://www.avito.ru/sankt-peterburg/uslugi/priem_i_vyvoz_metalloloma_sdat_lom_8023868562","Прием и вывоз металлолома / Сдать лом")</f>
        <v/>
      </c>
      <c r="C27" s="6" t="inlineStr"/>
      <c r="D27" s="6" t="inlineStr">
        <is>
          <t>Санкт-Петербург</t>
        </is>
      </c>
      <c r="E27" s="7" t="inlineStr">
        <is>
          <t>Санкт-Петербург, Гражданский пр-т, 116к1</t>
        </is>
      </c>
      <c r="F27" s="6" t="inlineStr"/>
      <c r="G27" s="6" t="inlineStr"/>
      <c r="H27" s="8">
        <f>HYPERLINK("https://www.avito.ru/sankt-peterburg/uslugi/priem_i_vyvoz_metalloloma_sdat_lom_8023868562","8023868562")</f>
        <v/>
      </c>
    </row>
    <row r="28">
      <c r="A28" s="4" t="inlineStr"/>
      <c r="B28" s="5">
        <f>HYPERLINK("https://www.avito.ru/sankt-peterburg/uslugi/priem_metalloloma_priem_tsvetnogo_loma_8023715667","Прием металлолома / Прием цветного лома")</f>
        <v/>
      </c>
      <c r="C28" s="6" t="inlineStr"/>
      <c r="D28" s="6" t="inlineStr">
        <is>
          <t>Санкт-Петербург</t>
        </is>
      </c>
      <c r="E28" s="7" t="inlineStr">
        <is>
          <t>Санкт-Петербург, Заневский пр-т, 69</t>
        </is>
      </c>
      <c r="F28" s="6" t="inlineStr"/>
      <c r="G28" s="6" t="inlineStr"/>
      <c r="H28" s="8">
        <f>HYPERLINK("https://www.avito.ru/sankt-peterburg/uslugi/priem_metalloloma_priem_tsvetnogo_loma_8023715667","8023715667")</f>
        <v/>
      </c>
    </row>
    <row r="29">
      <c r="A29" s="4" t="inlineStr"/>
      <c r="B29" s="5">
        <f>HYPERLINK("https://www.avito.ru/vyborg/uslugi/priem_tsvetnogo_metalloloma_8023487924","Прием цветного металлолома")</f>
        <v/>
      </c>
      <c r="C29" s="6" t="inlineStr">
        <is>
          <t>Ленинградская область</t>
        </is>
      </c>
      <c r="D29" s="6" t="inlineStr">
        <is>
          <t>Выборг</t>
        </is>
      </c>
      <c r="E29" s="7" t="inlineStr">
        <is>
          <t>Выборг, Промышленная ул., 10</t>
        </is>
      </c>
      <c r="F29" s="6" t="inlineStr"/>
      <c r="G29" s="6" t="inlineStr"/>
      <c r="H29" s="8">
        <f>HYPERLINK("https://www.avito.ru/vyborg/uslugi/priem_tsvetnogo_metalloloma_8023487924","8023487924")</f>
        <v/>
      </c>
    </row>
    <row r="30">
      <c r="A30" s="4" t="inlineStr"/>
      <c r="B30" s="5">
        <f>HYPERLINK("https://www.avito.ru/vologodskaya_oblast_sokol/uslugi/priem_tsvetnogo_metalloloma_8023420373","Прием цветного металлолома")</f>
        <v/>
      </c>
      <c r="C30" s="6" t="inlineStr">
        <is>
          <t>Вологодская область</t>
        </is>
      </c>
      <c r="D30" s="6" t="inlineStr">
        <is>
          <t>Сокол</t>
        </is>
      </c>
      <c r="E30" s="7" t="inlineStr">
        <is>
          <t>Сокол, Советская ул., 122Б</t>
        </is>
      </c>
      <c r="F30" s="6" t="inlineStr"/>
      <c r="G30" s="6" t="inlineStr"/>
      <c r="H30" s="8">
        <f>HYPERLINK("https://www.avito.ru/vologodskaya_oblast_sokol/uslugi/priem_tsvetnogo_metalloloma_8023420373","8023420373")</f>
        <v/>
      </c>
    </row>
    <row r="31">
      <c r="A31" s="4" t="inlineStr"/>
      <c r="B31" s="5">
        <f>HYPERLINK("https://www.avito.ru/vyborg/uslugi/priem_metalloloma_priem_chernogo_loma_opt_8023080226","Прием металлолома / Прием черного лома опт")</f>
        <v/>
      </c>
      <c r="C31" s="6" t="inlineStr">
        <is>
          <t>Ленинградская область</t>
        </is>
      </c>
      <c r="D31" s="6" t="inlineStr">
        <is>
          <t>Выборг</t>
        </is>
      </c>
      <c r="E31" s="7" t="inlineStr">
        <is>
          <t>Выборг, Промышленная ул., 10</t>
        </is>
      </c>
      <c r="F31" s="6" t="inlineStr"/>
      <c r="G31" s="6" t="inlineStr"/>
      <c r="H31" s="8">
        <f>HYPERLINK("https://www.avito.ru/vyborg/uslugi/priem_metalloloma_priem_chernogo_loma_opt_8023080226","8023080226")</f>
        <v/>
      </c>
    </row>
    <row r="32">
      <c r="A32" s="4" t="inlineStr"/>
      <c r="B32" s="5">
        <f>HYPERLINK("https://www.avito.ru/pikalevo/uslugi/priem_tsvetnogo_metalloloma_8023345096","Прием цветного металлолома")</f>
        <v/>
      </c>
      <c r="C32" s="6" t="inlineStr">
        <is>
          <t>Ленинградская область</t>
        </is>
      </c>
      <c r="D32" s="6" t="inlineStr">
        <is>
          <t>Пикалево</t>
        </is>
      </c>
      <c r="E32" s="7" t="inlineStr">
        <is>
          <t>Пикалёво, Советская ул.</t>
        </is>
      </c>
      <c r="F32" s="6" t="inlineStr"/>
      <c r="G32" s="6" t="inlineStr"/>
      <c r="H32" s="8">
        <f>HYPERLINK("https://www.avito.ru/pikalevo/uslugi/priem_tsvetnogo_metalloloma_8023345096","8023345096")</f>
        <v/>
      </c>
    </row>
    <row r="33">
      <c r="A33" s="4" t="inlineStr"/>
      <c r="B33" s="5">
        <f>HYPERLINK("https://www.avito.ru/slantsy/uslugi/priem_metalloloma_priem_tsvetnogo_loma_8023580238","Прием металлолома / Прием цветного лома")</f>
        <v/>
      </c>
      <c r="C33" s="6" t="inlineStr">
        <is>
          <t>Ленинградская область</t>
        </is>
      </c>
      <c r="D33" s="6" t="inlineStr">
        <is>
          <t>Сланцы</t>
        </is>
      </c>
      <c r="E33" s="7" t="inlineStr">
        <is>
          <t>Сланцы, Сланцевское ш., 32Б</t>
        </is>
      </c>
      <c r="F33" s="6" t="inlineStr"/>
      <c r="G33" s="6" t="inlineStr"/>
      <c r="H33" s="8">
        <f>HYPERLINK("https://www.avito.ru/slantsy/uslugi/priem_metalloloma_priem_tsvetnogo_loma_8023580238","8023580238")</f>
        <v/>
      </c>
    </row>
    <row r="34">
      <c r="A34" s="4" t="inlineStr"/>
      <c r="B34" s="5">
        <f>HYPERLINK("https://www.avito.ru/sheksna/uslugi/priem_loma_tsvetnyh_metallov_8023900075","Прием лома цветных металлов")</f>
        <v/>
      </c>
      <c r="C34" s="6" t="inlineStr">
        <is>
          <t>Вологодская область</t>
        </is>
      </c>
      <c r="D34" s="6" t="inlineStr">
        <is>
          <t>Шексна</t>
        </is>
      </c>
      <c r="E34" s="7" t="inlineStr">
        <is>
          <t>рп. Шексна, ДОЗ ул.</t>
        </is>
      </c>
      <c r="F34" s="6" t="inlineStr"/>
      <c r="G34" s="6" t="inlineStr"/>
      <c r="H34" s="8">
        <f>HYPERLINK("https://www.avito.ru/sheksna/uslugi/priem_loma_tsvetnyh_metallov_8023900075","8023900075")</f>
        <v/>
      </c>
    </row>
    <row r="35">
      <c r="A35" s="4" t="inlineStr"/>
      <c r="B35" s="5">
        <f>HYPERLINK("https://www.avito.ru/sankt-peterburg/uslugi/priem_metalloloma_priem_loma_demontazh_7543158206","Прием металлолома / Прием лома / Демонтаж")</f>
        <v/>
      </c>
      <c r="C35" s="6" t="inlineStr"/>
      <c r="D35" s="6" t="inlineStr">
        <is>
          <t>Санкт-Петербург</t>
        </is>
      </c>
      <c r="E35" s="7" t="inlineStr">
        <is>
          <t>Санкт-Петербург, ул. Одоевского, 29</t>
        </is>
      </c>
      <c r="F35" s="6" t="inlineStr"/>
      <c r="G35" s="6" t="inlineStr"/>
      <c r="H35" s="8">
        <f>HYPERLINK("https://www.avito.ru/sankt-peterburg/uslugi/priem_metalloloma_priem_loma_demontazh_7543158206","7543158206")</f>
        <v/>
      </c>
    </row>
    <row r="36">
      <c r="A36" s="4" t="inlineStr"/>
      <c r="B36" s="5">
        <f>HYPERLINK("https://www.avito.ru/borovichi/uslugi/priem_metalloloma_priem_chernogo_loma_8023899134","Прием металлолома / Прием черного лома")</f>
        <v/>
      </c>
      <c r="C36" s="6" t="inlineStr">
        <is>
          <t>Новгородская область</t>
        </is>
      </c>
      <c r="D36" s="6" t="inlineStr">
        <is>
          <t>Боровичи</t>
        </is>
      </c>
      <c r="E36" s="7" t="inlineStr">
        <is>
          <t>Боровичи, Новгородская ул., 1</t>
        </is>
      </c>
      <c r="F36" s="6" t="inlineStr"/>
      <c r="G36" s="6" t="inlineStr"/>
      <c r="H36" s="8">
        <f>HYPERLINK("https://www.avito.ru/borovichi/uslugi/priem_metalloloma_priem_chernogo_loma_8023899134","8023899134")</f>
        <v/>
      </c>
    </row>
    <row r="37">
      <c r="A37" s="4" t="inlineStr"/>
      <c r="B37" s="5">
        <f>HYPERLINK("https://www.avito.ru/vologda/uslugi/priem_tsvetnogo_metalloloma_8023023404","Прием цветного металлолома")</f>
        <v/>
      </c>
      <c r="C37" s="6" t="inlineStr">
        <is>
          <t>Вологодская область</t>
        </is>
      </c>
      <c r="D37" s="6" t="inlineStr">
        <is>
          <t>Вологда</t>
        </is>
      </c>
      <c r="E37" s="7" t="inlineStr">
        <is>
          <t>Вологда, ул. Чернышевского, 141А</t>
        </is>
      </c>
      <c r="F37" s="6" t="inlineStr"/>
      <c r="G37" s="6" t="inlineStr"/>
      <c r="H37" s="8">
        <f>HYPERLINK("https://www.avito.ru/vologda/uslugi/priem_tsvetnogo_metalloloma_8023023404","8023023404")</f>
        <v/>
      </c>
    </row>
    <row r="38">
      <c r="A38" s="4" t="inlineStr"/>
      <c r="B38" s="5">
        <f>HYPERLINK("https://www.avito.ru/sankt-peterburg/uslugi/priem_i_vyvoz_metalloloma_sdat_lom_8023351187","Прием и вывоз металлолома / Сдать лом")</f>
        <v/>
      </c>
      <c r="C38" s="6" t="inlineStr"/>
      <c r="D38" s="6" t="inlineStr">
        <is>
          <t>Санкт-Петербург</t>
        </is>
      </c>
      <c r="E38" s="7" t="inlineStr">
        <is>
          <t>Санкт-Петербург, пр-т Науки, 19к1</t>
        </is>
      </c>
      <c r="F38" s="6" t="inlineStr"/>
      <c r="G38" s="6" t="inlineStr"/>
      <c r="H38" s="8">
        <f>HYPERLINK("https://www.avito.ru/sankt-peterburg/uslugi/priem_i_vyvoz_metalloloma_sdat_lom_8023351187","8023351187")</f>
        <v/>
      </c>
    </row>
    <row r="39">
      <c r="A39" s="4" t="inlineStr"/>
      <c r="B39" s="5">
        <f>HYPERLINK("https://www.avito.ru/tihvin/uslugi/priem_metalloloma_priem_tsvetnogo_loma_8023188116","Прием металлолома / Прием цветного лома")</f>
        <v/>
      </c>
      <c r="C39" s="6" t="inlineStr">
        <is>
          <t>Ленинградская область</t>
        </is>
      </c>
      <c r="D39" s="6" t="inlineStr">
        <is>
          <t>Тихвин</t>
        </is>
      </c>
      <c r="E39" s="7" t="inlineStr">
        <is>
          <t>Тихвин, Право-Вологодский тупик, 9</t>
        </is>
      </c>
      <c r="F39" s="6" t="inlineStr"/>
      <c r="G39" s="6" t="inlineStr"/>
      <c r="H39" s="8">
        <f>HYPERLINK("https://www.avito.ru/tihvin/uslugi/priem_metalloloma_priem_tsvetnogo_loma_8023188116","8023188116")</f>
        <v/>
      </c>
    </row>
    <row r="40">
      <c r="A40" s="4" t="inlineStr"/>
      <c r="B40" s="5">
        <f>HYPERLINK("https://www.avito.ru/sankt-peterburg/uslugi/priem_metalla_demontazh_priem_metalloloma_8023299475","Прием металла / Демонтаж / Прием металлолома")</f>
        <v/>
      </c>
      <c r="C40" s="6" t="inlineStr"/>
      <c r="D40" s="6" t="inlineStr">
        <is>
          <t>Санкт-Петербург</t>
        </is>
      </c>
      <c r="E40" s="7" t="inlineStr">
        <is>
          <t>Санкт-Петербург, ул. Дыбенко, 26</t>
        </is>
      </c>
      <c r="F40" s="6" t="inlineStr"/>
      <c r="G40" s="6" t="inlineStr"/>
      <c r="H40" s="8">
        <f>HYPERLINK("https://www.avito.ru/sankt-peterburg/uslugi/priem_metalla_demontazh_priem_metalloloma_8023299475","8023299475")</f>
        <v/>
      </c>
    </row>
    <row r="41">
      <c r="A41" s="4" t="inlineStr"/>
      <c r="B41" s="5">
        <f>HYPERLINK("https://www.avito.ru/sankt-peterburg/uslugi/priem_metalloloma_vyvoz_metalloloma_8023266841","Прием металлолома/ Вывоз металлолома")</f>
        <v/>
      </c>
      <c r="C41" s="6" t="inlineStr"/>
      <c r="D41" s="6" t="inlineStr">
        <is>
          <t>Санкт-Петербург</t>
        </is>
      </c>
      <c r="E41" s="7" t="inlineStr">
        <is>
          <t>Санкт-Петербург, ул. Дыбенко, 26</t>
        </is>
      </c>
      <c r="F41" s="6" t="inlineStr"/>
      <c r="G41" s="6" t="inlineStr"/>
      <c r="H41" s="8">
        <f>HYPERLINK("https://www.avito.ru/sankt-peterburg/uslugi/priem_metalloloma_vyvoz_metalloloma_8023266841","8023266841")</f>
        <v/>
      </c>
    </row>
    <row r="42">
      <c r="A42" s="4" t="inlineStr"/>
      <c r="B42" s="5">
        <f>HYPERLINK("https://www.avito.ru/severodvinsk/uslugi/priem_metalloloma_priem_tsvetnogo_loma_8023518256","Прием металлолома / Прием цветного лома")</f>
        <v/>
      </c>
      <c r="C42" s="6" t="inlineStr">
        <is>
          <t>Архангельская область</t>
        </is>
      </c>
      <c r="D42" s="6" t="inlineStr">
        <is>
          <t>Северодвинск</t>
        </is>
      </c>
      <c r="E42" s="7" t="inlineStr">
        <is>
          <t>Северодвинск, Ягринское ш., 2А</t>
        </is>
      </c>
      <c r="F42" s="6" t="inlineStr"/>
      <c r="G42" s="6" t="inlineStr"/>
      <c r="H42" s="8">
        <f>HYPERLINK("https://www.avito.ru/severodvinsk/uslugi/priem_metalloloma_priem_tsvetnogo_loma_8023518256","8023518256")</f>
        <v/>
      </c>
    </row>
    <row r="43">
      <c r="A43" s="4" t="inlineStr"/>
      <c r="B43" s="5">
        <f>HYPERLINK("https://www.avito.ru/sankt-peterburg/uslugi/spektralnyy_analiz_sostava_metalla_7799250387","Спектральный анализ состава металла")</f>
        <v/>
      </c>
      <c r="C43" s="6" t="inlineStr"/>
      <c r="D43" s="6" t="inlineStr">
        <is>
          <t>Санкт-Петербург</t>
        </is>
      </c>
      <c r="E43" s="7" t="inlineStr">
        <is>
          <t>Санкт-Петербург, 1 линия – Кировско-Выборгская</t>
        </is>
      </c>
      <c r="F43" s="6" t="inlineStr"/>
      <c r="G43" s="6" t="inlineStr"/>
      <c r="H43" s="8">
        <f>HYPERLINK("https://www.avito.ru/sankt-peterburg/uslugi/spektralnyy_analiz_sostava_metalla_7799250387","7799250387")</f>
        <v/>
      </c>
    </row>
    <row r="44">
      <c r="A44" s="4" t="inlineStr"/>
      <c r="B44" s="5">
        <f>HYPERLINK("https://www.avito.ru/borovichi/uslugi/priem_loma_priem_tsvetnogo_loma_priem_chermeta_8023707576","Прием лома / Прием цветного лома / Прием чермета")</f>
        <v/>
      </c>
      <c r="C44" s="6" t="inlineStr">
        <is>
          <t>Новгородская область</t>
        </is>
      </c>
      <c r="D44" s="6" t="inlineStr">
        <is>
          <t>Боровичи</t>
        </is>
      </c>
      <c r="E44" s="7" t="inlineStr">
        <is>
          <t>Боровичи, Новгородская ул., 1</t>
        </is>
      </c>
      <c r="F44" s="6" t="inlineStr"/>
      <c r="G44" s="6" t="inlineStr"/>
      <c r="H44" s="8">
        <f>HYPERLINK("https://www.avito.ru/borovichi/uslugi/priem_loma_priem_tsvetnogo_loma_priem_chermeta_8023707576","8023707576")</f>
        <v/>
      </c>
    </row>
    <row r="45">
      <c r="A45" s="4" t="inlineStr"/>
      <c r="B45" s="5">
        <f>HYPERLINK("https://www.avito.ru/sankt-peterburg/uslugi/priem_i_vyvoz_metalloloma_priem_redkih_metallov_8023098686","Прием и вывоз металлолома / Прием редких металлов")</f>
        <v/>
      </c>
      <c r="C45" s="6" t="inlineStr"/>
      <c r="D45" s="6" t="inlineStr">
        <is>
          <t>Санкт-Петербург</t>
        </is>
      </c>
      <c r="E45" s="7" t="inlineStr">
        <is>
          <t>Санкт-Петербург, Бухарестская ул., 30</t>
        </is>
      </c>
      <c r="F45" s="6" t="inlineStr"/>
      <c r="G45" s="6" t="inlineStr"/>
      <c r="H45" s="8">
        <f>HYPERLINK("https://www.avito.ru/sankt-peterburg/uslugi/priem_i_vyvoz_metalloloma_priem_redkih_metallov_8023098686","8023098686")</f>
        <v/>
      </c>
    </row>
    <row r="46">
      <c r="A46" s="4" t="inlineStr"/>
      <c r="B46" s="5">
        <f>HYPERLINK("https://www.avito.ru/sankt-peterburg/uslugi/priem_i_vyvoz_metalloloma_priem_redkih_metallov_8023865033","Прием и вывоз металлолома / Прием редких металлов")</f>
        <v/>
      </c>
      <c r="C46" s="6" t="inlineStr"/>
      <c r="D46" s="6" t="inlineStr">
        <is>
          <t>Санкт-Петербург</t>
        </is>
      </c>
      <c r="E46" s="7" t="inlineStr">
        <is>
          <t>Санкт-Петербург, Гражданский пр-т, 116к1</t>
        </is>
      </c>
      <c r="F46" s="6" t="inlineStr"/>
      <c r="G46" s="6" t="inlineStr"/>
      <c r="H46" s="8">
        <f>HYPERLINK("https://www.avito.ru/sankt-peterburg/uslugi/priem_i_vyvoz_metalloloma_priem_redkih_metallov_8023865033","8023865033")</f>
        <v/>
      </c>
    </row>
    <row r="47">
      <c r="A47" s="4" t="inlineStr"/>
      <c r="B47" s="5">
        <f>HYPERLINK("https://www.avito.ru/sankt-peterburg/uslugi/priem_metalloloma_priem_loma_demontazh_8023716687","Прием металлолома / Прием лома / Демонтаж")</f>
        <v/>
      </c>
      <c r="C47" s="6" t="inlineStr"/>
      <c r="D47" s="6" t="inlineStr">
        <is>
          <t>Санкт-Петербург</t>
        </is>
      </c>
      <c r="E47" s="7" t="inlineStr">
        <is>
          <t>Санкт-Петербург, Московская пл.</t>
        </is>
      </c>
      <c r="F47" s="6" t="inlineStr"/>
      <c r="G47" s="6" t="inlineStr"/>
      <c r="H47" s="8">
        <f>HYPERLINK("https://www.avito.ru/sankt-peterburg/uslugi/priem_metalloloma_priem_loma_demontazh_8023716687","8023716687")</f>
        <v/>
      </c>
    </row>
    <row r="48">
      <c r="A48" s="4" t="inlineStr"/>
      <c r="B48" s="5">
        <f>HYPERLINK("https://www.avito.ru/velikiy_novgorod/uslugi/priem_metalloloma_priem_chernogo_loma_8023865130","Прием металлолома / Прием черного лома")</f>
        <v/>
      </c>
      <c r="C48" s="6" t="inlineStr">
        <is>
          <t>Новгородская область</t>
        </is>
      </c>
      <c r="D48" s="6" t="inlineStr">
        <is>
          <t>Великий Новгород</t>
        </is>
      </c>
      <c r="E48" s="7" t="inlineStr">
        <is>
          <t>Великий Новгород, Донецкий район, Студенческая ул., 20</t>
        </is>
      </c>
      <c r="F48" s="6" t="inlineStr"/>
      <c r="G48" s="6" t="inlineStr"/>
      <c r="H48" s="8">
        <f>HYPERLINK("https://www.avito.ru/velikiy_novgorod/uslugi/priem_metalloloma_priem_chernogo_loma_8023865130","8023865130")</f>
        <v/>
      </c>
    </row>
    <row r="49">
      <c r="A49" s="4" t="inlineStr"/>
      <c r="B49" s="5">
        <f>HYPERLINK("https://www.avito.ru/sankt-peterburg/uslugi/vyvoz_metalloloma_priem_loma_demontazh_7543675768","Вывоз металлолома / Прием лома / Демонтаж")</f>
        <v/>
      </c>
      <c r="C49" s="6" t="inlineStr"/>
      <c r="D49" s="6" t="inlineStr">
        <is>
          <t>Санкт-Петербург</t>
        </is>
      </c>
      <c r="E49" s="7" t="inlineStr">
        <is>
          <t>Санкт-Петербург, Заневский пр-т</t>
        </is>
      </c>
      <c r="F49" s="6" t="inlineStr"/>
      <c r="G49" s="6" t="inlineStr"/>
      <c r="H49" s="8">
        <f>HYPERLINK("https://www.avito.ru/sankt-peterburg/uslugi/vyvoz_metalloloma_priem_loma_demontazh_7543675768","7543675768")</f>
        <v/>
      </c>
    </row>
    <row r="50">
      <c r="A50" s="4" t="inlineStr"/>
      <c r="B50" s="5">
        <f>HYPERLINK("https://www.avito.ru/pestovo/uslugi/priem_metalloloma_priem_chernogo_loma_8022982419","Прием металлолома / Прием черного лома")</f>
        <v/>
      </c>
      <c r="C50" s="6" t="inlineStr">
        <is>
          <t>Новгородская область</t>
        </is>
      </c>
      <c r="D50" s="6" t="inlineStr">
        <is>
          <t>Пестово</t>
        </is>
      </c>
      <c r="E50" s="7" t="inlineStr">
        <is>
          <t>Пестово, Луговая ул., 4</t>
        </is>
      </c>
      <c r="F50" s="6" t="inlineStr"/>
      <c r="G50" s="6" t="inlineStr"/>
      <c r="H50" s="8">
        <f>HYPERLINK("https://www.avito.ru/pestovo/uslugi/priem_metalloloma_priem_chernogo_loma_8022982419","8022982419")</f>
        <v/>
      </c>
    </row>
    <row r="51">
      <c r="A51" s="4" t="inlineStr"/>
      <c r="B51" s="5">
        <f>HYPERLINK("https://www.avito.ru/gatchina/uslugi/priem_metalloloma_priem_chernogo_loma_8023164342","Прием металлолома / Прием черного лома")</f>
        <v/>
      </c>
      <c r="C51" s="6" t="inlineStr">
        <is>
          <t>Ленинградская область</t>
        </is>
      </c>
      <c r="D51" s="6" t="inlineStr">
        <is>
          <t>Гатчина</t>
        </is>
      </c>
      <c r="E51" s="7" t="inlineStr">
        <is>
          <t>Гатчина, ул. Старая Дорога, 2</t>
        </is>
      </c>
      <c r="F51" s="6" t="inlineStr"/>
      <c r="G51" s="6" t="inlineStr"/>
      <c r="H51" s="8">
        <f>HYPERLINK("https://www.avito.ru/gatchina/uslugi/priem_metalloloma_priem_chernogo_loma_8023164342","8023164342")</f>
        <v/>
      </c>
    </row>
    <row r="52">
      <c r="A52" s="4" t="inlineStr"/>
      <c r="B52" s="5">
        <f>HYPERLINK("https://www.avito.ru/pestovo/uslugi/priem_metalloloma_priem_tsvetnogo_loma_8023269621","Прием металлолома / Прием цветного лома")</f>
        <v/>
      </c>
      <c r="C52" s="6" t="inlineStr">
        <is>
          <t>Новгородская область</t>
        </is>
      </c>
      <c r="D52" s="6" t="inlineStr">
        <is>
          <t>Пестово</t>
        </is>
      </c>
      <c r="E52" s="7" t="inlineStr">
        <is>
          <t>Пестово, Луговая ул., 4</t>
        </is>
      </c>
      <c r="F52" s="6" t="inlineStr"/>
      <c r="G52" s="6" t="inlineStr"/>
      <c r="H52" s="8">
        <f>HYPERLINK("https://www.avito.ru/pestovo/uslugi/priem_metalloloma_priem_tsvetnogo_loma_8023269621","8023269621")</f>
        <v/>
      </c>
    </row>
    <row r="53">
      <c r="A53" s="4" t="inlineStr"/>
      <c r="B53" s="5">
        <f>HYPERLINK("https://www.avito.ru/podporozhe/uslugi/priem_tsvetnogo_metalloloma_8023840634","Прием цветного металлолома")</f>
        <v/>
      </c>
      <c r="C53" s="6" t="inlineStr">
        <is>
          <t>Ленинградская область</t>
        </is>
      </c>
      <c r="D53" s="6" t="inlineStr">
        <is>
          <t>Подпорожье</t>
        </is>
      </c>
      <c r="E53" s="7" t="inlineStr">
        <is>
          <t>Подпорожье</t>
        </is>
      </c>
      <c r="F53" s="6" t="inlineStr"/>
      <c r="G53" s="6" t="inlineStr"/>
      <c r="H53" s="8">
        <f>HYPERLINK("https://www.avito.ru/podporozhe/uslugi/priem_tsvetnogo_metalloloma_8023840634","8023840634")</f>
        <v/>
      </c>
    </row>
    <row r="54">
      <c r="A54" s="4" t="inlineStr"/>
      <c r="B54" s="5">
        <f>HYPERLINK("https://www.avito.ru/nevel/uslugi/priem_i_vyvoz_metalloloma_samovyvoz_loma_8023848483","Прием и вывоз металлолома / Самовывоз лома")</f>
        <v/>
      </c>
      <c r="C54" s="6" t="inlineStr">
        <is>
          <t>Псковская область</t>
        </is>
      </c>
      <c r="D54" s="6" t="inlineStr">
        <is>
          <t>Невель</t>
        </is>
      </c>
      <c r="E54" s="7" t="inlineStr">
        <is>
          <t>Невель, ул. Урицкого, 116</t>
        </is>
      </c>
      <c r="F54" s="6" t="inlineStr"/>
      <c r="G54" s="6" t="inlineStr"/>
      <c r="H54" s="8">
        <f>HYPERLINK("https://www.avito.ru/nevel/uslugi/priem_i_vyvoz_metalloloma_samovyvoz_loma_8023848483","8023848483")</f>
        <v/>
      </c>
    </row>
    <row r="55">
      <c r="A55" s="4" t="inlineStr"/>
      <c r="B55" s="5">
        <f>HYPERLINK("https://www.avito.ru/sankt-peterburg/uslugi/priem_kabelya_sdat_kabel_sdat_provodku_7703090725","Прием кабеля / сдать кабель / сдать проводку")</f>
        <v/>
      </c>
      <c r="C55" s="6" t="inlineStr"/>
      <c r="D55" s="6" t="inlineStr">
        <is>
          <t>Санкт-Петербург</t>
        </is>
      </c>
      <c r="E55" s="7" t="inlineStr">
        <is>
          <t>Санкт-Петербург, ул. Одоевского, 29</t>
        </is>
      </c>
      <c r="F55" s="6" t="inlineStr"/>
      <c r="G55" s="6" t="inlineStr"/>
      <c r="H55" s="8">
        <f>HYPERLINK("https://www.avito.ru/sankt-peterburg/uslugi/priem_kabelya_sdat_kabel_sdat_provodku_7703090725","7703090725")</f>
        <v/>
      </c>
    </row>
    <row r="56">
      <c r="A56" s="4" t="inlineStr"/>
      <c r="B56" s="5">
        <f>HYPERLINK("https://www.avito.ru/vologodskaya_oblast_sokol/uslugi/priem_metalloloma_priem_chernogo_loma_opt_8023104988","Прием металлолома / Прием черного лома опт")</f>
        <v/>
      </c>
      <c r="C56" s="6" t="inlineStr">
        <is>
          <t>Вологодская область</t>
        </is>
      </c>
      <c r="D56" s="6" t="inlineStr">
        <is>
          <t>Сокол</t>
        </is>
      </c>
      <c r="E56" s="7" t="inlineStr">
        <is>
          <t>Сокол, Советская ул., 122Б</t>
        </is>
      </c>
      <c r="F56" s="6" t="inlineStr"/>
      <c r="G56" s="6" t="inlineStr"/>
      <c r="H56" s="8">
        <f>HYPERLINK("https://www.avito.ru/vologodskaya_oblast_sokol/uslugi/priem_metalloloma_priem_chernogo_loma_opt_8023104988","8023104988")</f>
        <v/>
      </c>
    </row>
    <row r="57">
      <c r="A57" s="4" t="inlineStr"/>
      <c r="B57" s="5">
        <f>HYPERLINK("https://www.avito.ru/sankt-peterburg/uslugi/priem_metalla_demontazh_priem_metalloloma_8023841120","Прием металла / Демонтаж / Прием металлолома")</f>
        <v/>
      </c>
      <c r="C57" s="6" t="inlineStr"/>
      <c r="D57" s="6" t="inlineStr">
        <is>
          <t>Санкт-Петербург</t>
        </is>
      </c>
      <c r="E57" s="7" t="inlineStr">
        <is>
          <t>Санкт-Петербург, ул. Савушкина, 2</t>
        </is>
      </c>
      <c r="F57" s="6" t="inlineStr"/>
      <c r="G57" s="6" t="inlineStr"/>
      <c r="H57" s="8">
        <f>HYPERLINK("https://www.avito.ru/sankt-peterburg/uslugi/priem_metalla_demontazh_priem_metalloloma_8023841120","8023841120")</f>
        <v/>
      </c>
    </row>
    <row r="58">
      <c r="A58" s="4" t="inlineStr"/>
      <c r="B58" s="5">
        <f>HYPERLINK("https://www.avito.ru/pskov/uslugi/priem_metalla_demontazh_priem_metalloloma_8023197482","Прием металла / Демонтаж / Прием металлолома")</f>
        <v/>
      </c>
      <c r="C58" s="6" t="inlineStr">
        <is>
          <t>Псковская область</t>
        </is>
      </c>
      <c r="D58" s="6" t="inlineStr">
        <is>
          <t>Псков</t>
        </is>
      </c>
      <c r="E58" s="7" t="inlineStr">
        <is>
          <t>Псков, Инженерная ул., 7</t>
        </is>
      </c>
      <c r="F58" s="6" t="inlineStr"/>
      <c r="G58" s="6" t="inlineStr"/>
      <c r="H58" s="8">
        <f>HYPERLINK("https://www.avito.ru/pskov/uslugi/priem_metalla_demontazh_priem_metalloloma_8023197482","8023197482")</f>
        <v/>
      </c>
    </row>
    <row r="59">
      <c r="A59" s="4" t="inlineStr"/>
      <c r="B59" s="5">
        <f>HYPERLINK("https://www.avito.ru/valday/uslugi/priem_metalloloma_skupka_metalla_8023435398","Прием металлолома / Скупка металла")</f>
        <v/>
      </c>
      <c r="C59" s="6" t="inlineStr">
        <is>
          <t>Новгородская область</t>
        </is>
      </c>
      <c r="D59" s="6" t="inlineStr">
        <is>
          <t>Валдай</t>
        </is>
      </c>
      <c r="E59" s="7" t="inlineStr">
        <is>
          <t>Валдай, Новгородская ул., 3</t>
        </is>
      </c>
      <c r="F59" s="6" t="inlineStr"/>
      <c r="G59" s="6" t="inlineStr"/>
      <c r="H59" s="8">
        <f>HYPERLINK("https://www.avito.ru/valday/uslugi/priem_metalloloma_skupka_metalla_8023435398","8023435398")</f>
        <v/>
      </c>
    </row>
    <row r="60">
      <c r="A60" s="4" t="inlineStr"/>
      <c r="B60" s="5">
        <f>HYPERLINK("https://www.avito.ru/ostrov/uslugi/priem_metalloloma_priem_chernogo_loma_opt_8023710211","Прием металлолома / Прием черного лома опт")</f>
        <v/>
      </c>
      <c r="C60" s="6" t="inlineStr">
        <is>
          <t>Псковская область</t>
        </is>
      </c>
      <c r="D60" s="6" t="inlineStr">
        <is>
          <t>Остров</t>
        </is>
      </c>
      <c r="E60" s="7" t="inlineStr">
        <is>
          <t>Остров, ул. Карла Маркса, 90Б</t>
        </is>
      </c>
      <c r="F60" s="6" t="inlineStr"/>
      <c r="G60" s="6" t="inlineStr"/>
      <c r="H60" s="8">
        <f>HYPERLINK("https://www.avito.ru/ostrov/uslugi/priem_metalloloma_priem_chernogo_loma_opt_8023710211","8023710211")</f>
        <v/>
      </c>
    </row>
    <row r="61">
      <c r="A61" s="4" t="inlineStr"/>
      <c r="B61" s="5">
        <f>HYPERLINK("https://www.avito.ru/sankt-peterburg/uslugi/priem_loma_priem_tsvetnogo_loma_priem_chermeta_8023507126","Прием лома / Прием цветного лома / Прием чермета")</f>
        <v/>
      </c>
      <c r="C61" s="6" t="inlineStr"/>
      <c r="D61" s="6" t="inlineStr">
        <is>
          <t>Санкт-Петербург</t>
        </is>
      </c>
      <c r="E61" s="7" t="inlineStr">
        <is>
          <t>Санкт-Петербург, Заневский пр-т, 69</t>
        </is>
      </c>
      <c r="F61" s="6" t="inlineStr"/>
      <c r="G61" s="6" t="inlineStr"/>
      <c r="H61" s="8">
        <f>HYPERLINK("https://www.avito.ru/sankt-peterburg/uslugi/priem_loma_priem_tsvetnogo_loma_priem_chermeta_8023507126","8023507126")</f>
        <v/>
      </c>
    </row>
    <row r="62">
      <c r="A62" s="4" t="inlineStr"/>
      <c r="B62" s="5">
        <f>HYPERLINK("https://www.avito.ru/volhov/uslugi/priem_metalloloma_priem_chernogo_loma_8023774305","Прием металлолома / Прием черного лома")</f>
        <v/>
      </c>
      <c r="C62" s="6" t="inlineStr">
        <is>
          <t>Ленинградская область</t>
        </is>
      </c>
      <c r="D62" s="6" t="inlineStr">
        <is>
          <t>Волхов</t>
        </is>
      </c>
      <c r="E62" s="7" t="inlineStr">
        <is>
          <t>Волхов, Новгородская ул., 7</t>
        </is>
      </c>
      <c r="F62" s="6" t="inlineStr"/>
      <c r="G62" s="6" t="inlineStr"/>
      <c r="H62" s="8">
        <f>HYPERLINK("https://www.avito.ru/volhov/uslugi/priem_metalloloma_priem_chernogo_loma_8023774305","8023774305")</f>
        <v/>
      </c>
    </row>
    <row r="63">
      <c r="A63" s="4" t="inlineStr"/>
      <c r="B63" s="5">
        <f>HYPERLINK("https://www.avito.ru/sankt-peterburg/uslugi/demontazh_snos_zdaniy_metallokonstruktsiy_7735781826","Демонтаж / Снос зданий / Металлоконструкций")</f>
        <v/>
      </c>
      <c r="C63" s="6" t="inlineStr"/>
      <c r="D63" s="6" t="inlineStr">
        <is>
          <t>Санкт-Петербург</t>
        </is>
      </c>
      <c r="E63" s="7" t="inlineStr">
        <is>
          <t>Санкт-Петербург, пр-т Стачек, 70</t>
        </is>
      </c>
      <c r="F63" s="6" t="inlineStr"/>
      <c r="G63" s="6" t="inlineStr"/>
      <c r="H63" s="8">
        <f>HYPERLINK("https://www.avito.ru/sankt-peterburg/uslugi/demontazh_snos_zdaniy_metallokonstruktsiy_7735781826","7735781826")</f>
        <v/>
      </c>
    </row>
    <row r="64">
      <c r="A64" s="4" t="inlineStr"/>
      <c r="B64" s="5">
        <f>HYPERLINK("https://www.avito.ru/staraya_russa/uslugi/priem_loma_priem_tsvetnogo_loma_priem_chermeta_8023108025","Прием лома / Прием цветного лома / Прием чермета")</f>
        <v/>
      </c>
      <c r="C64" s="6" t="inlineStr">
        <is>
          <t>Новгородская область</t>
        </is>
      </c>
      <c r="D64" s="6" t="inlineStr">
        <is>
          <t>Старая Русса</t>
        </is>
      </c>
      <c r="E64" s="7" t="inlineStr">
        <is>
          <t>Старая Русса, ул. Кириллова</t>
        </is>
      </c>
      <c r="F64" s="6" t="inlineStr"/>
      <c r="G64" s="6" t="inlineStr"/>
      <c r="H64" s="8">
        <f>HYPERLINK("https://www.avito.ru/staraya_russa/uslugi/priem_loma_priem_tsvetnogo_loma_priem_chermeta_8023108025","8023108025")</f>
        <v/>
      </c>
    </row>
    <row r="65">
      <c r="A65" s="4" t="inlineStr"/>
      <c r="B65" s="5">
        <f>HYPERLINK("https://www.avito.ru/velikiy_ustyug/uslugi/priem_metalla_sdat_lom_vyvoz_loma_8023566447","Приём металла /Сдать лом / Вывоз лома")</f>
        <v/>
      </c>
      <c r="C65" s="6" t="inlineStr">
        <is>
          <t>Вологодская область</t>
        </is>
      </c>
      <c r="D65" s="6" t="inlineStr">
        <is>
          <t>Великий Устюг</t>
        </is>
      </c>
      <c r="E65" s="7" t="inlineStr">
        <is>
          <t>Великий Устюг, Советский пр-т, 3</t>
        </is>
      </c>
      <c r="F65" s="6" t="inlineStr"/>
      <c r="G65" s="6" t="inlineStr"/>
      <c r="H65" s="8">
        <f>HYPERLINK("https://www.avito.ru/velikiy_ustyug/uslugi/priem_metalla_sdat_lom_vyvoz_loma_8023566447","8023566447")</f>
        <v/>
      </c>
    </row>
    <row r="66">
      <c r="A66" s="4" t="inlineStr"/>
      <c r="B66" s="5">
        <f>HYPERLINK("https://www.avito.ru/velikiy_novgorod/uslugi/priem_loma_priem_tsvetnogo_loma_priem_chermeta_8023655536","Прием лома / Прием цветного лома / Прием чермета")</f>
        <v/>
      </c>
      <c r="C66" s="6" t="inlineStr">
        <is>
          <t>Новгородская область</t>
        </is>
      </c>
      <c r="D66" s="6" t="inlineStr">
        <is>
          <t>Великий Новгород</t>
        </is>
      </c>
      <c r="E66" s="7" t="inlineStr">
        <is>
          <t>Великий Новгород, Донецкий район, Студенческая ул., 20</t>
        </is>
      </c>
      <c r="F66" s="6" t="inlineStr"/>
      <c r="G66" s="6" t="inlineStr"/>
      <c r="H66" s="8">
        <f>HYPERLINK("https://www.avito.ru/velikiy_novgorod/uslugi/priem_loma_priem_tsvetnogo_loma_priem_chermeta_8023655536","8023655536")</f>
        <v/>
      </c>
    </row>
    <row r="67">
      <c r="A67" s="4" t="inlineStr"/>
      <c r="B67" s="5">
        <f>HYPERLINK("https://www.avito.ru/sankt-peterburg/uslugi/sdat_olovyannyy_pripoy_sdat_olovo_7703399321","Сдать Оловянный Припой / Сдать Олово")</f>
        <v/>
      </c>
      <c r="C67" s="6" t="inlineStr"/>
      <c r="D67" s="6" t="inlineStr">
        <is>
          <t>Санкт-Петербург</t>
        </is>
      </c>
      <c r="E67" s="7" t="inlineStr">
        <is>
          <t>Санкт-Петербург, 2 линия – Московско-Петроградская</t>
        </is>
      </c>
      <c r="F67" s="6" t="inlineStr"/>
      <c r="G67" s="6" t="inlineStr"/>
      <c r="H67" s="8">
        <f>HYPERLINK("https://www.avito.ru/sankt-peterburg/uslugi/sdat_olovyannyy_pripoy_sdat_olovo_7703399321","7703399321")</f>
        <v/>
      </c>
    </row>
    <row r="68">
      <c r="A68" s="4" t="inlineStr"/>
      <c r="B68" s="5">
        <f>HYPERLINK("https://www.avito.ru/nevel/uslugi/priem_metalloloma_vyvoz_metalloloma_8023260930","Прием металлолома/ Вывоз металлолома")</f>
        <v/>
      </c>
      <c r="C68" s="6" t="inlineStr">
        <is>
          <t>Псковская область</t>
        </is>
      </c>
      <c r="D68" s="6" t="inlineStr">
        <is>
          <t>Невель</t>
        </is>
      </c>
      <c r="E68" s="7" t="inlineStr">
        <is>
          <t>Невель, ул. Урицкого, 116</t>
        </is>
      </c>
      <c r="F68" s="6" t="inlineStr"/>
      <c r="G68" s="6" t="inlineStr"/>
      <c r="H68" s="8">
        <f>HYPERLINK("https://www.avito.ru/nevel/uslugi/priem_metalloloma_vyvoz_metalloloma_8023260930","8023260930")</f>
        <v/>
      </c>
    </row>
    <row r="69">
      <c r="A69" s="4" t="inlineStr"/>
      <c r="B69" s="5">
        <f>HYPERLINK("https://www.avito.ru/novodvinsk/uslugi/priem_metalloloma_priem_chernogo_loma_8023712712","Прием металлолома / Прием черного лома")</f>
        <v/>
      </c>
      <c r="C69" s="6" t="inlineStr">
        <is>
          <t>Архангельская область</t>
        </is>
      </c>
      <c r="D69" s="6" t="inlineStr">
        <is>
          <t>Новодвинск</t>
        </is>
      </c>
      <c r="E69" s="7" t="inlineStr">
        <is>
          <t>Новодвинск, ул. Фронтовых Бригад, 12</t>
        </is>
      </c>
      <c r="F69" s="6" t="inlineStr"/>
      <c r="G69" s="6" t="inlineStr"/>
      <c r="H69" s="8">
        <f>HYPERLINK("https://www.avito.ru/novodvinsk/uslugi/priem_metalloloma_priem_chernogo_loma_8023712712","8023712712")</f>
        <v/>
      </c>
    </row>
    <row r="70">
      <c r="A70" s="4" t="inlineStr"/>
      <c r="B70" s="5">
        <f>HYPERLINK("https://www.avito.ru/sankt-peterburg/uslugi/priem_metalloloma_skupka_metalla_8023361448","Прием металлолома / Скупка металла")</f>
        <v/>
      </c>
      <c r="C70" s="6" t="inlineStr"/>
      <c r="D70" s="6" t="inlineStr">
        <is>
          <t>Санкт-Петербург</t>
        </is>
      </c>
      <c r="E70" s="7" t="inlineStr">
        <is>
          <t>Санкт-Петербург, пр-т Просвещения, 19</t>
        </is>
      </c>
      <c r="F70" s="6" t="inlineStr"/>
      <c r="G70" s="6" t="inlineStr"/>
      <c r="H70" s="8">
        <f>HYPERLINK("https://www.avito.ru/sankt-peterburg/uslugi/priem_metalloloma_skupka_metalla_8023361448","8023361448")</f>
        <v/>
      </c>
    </row>
    <row r="71">
      <c r="A71" s="4" t="inlineStr"/>
      <c r="B71" s="5">
        <f>HYPERLINK("https://www.avito.ru/novodvinsk/uslugi/priem_metalla_demontazh_priem_metalloloma_8023575004","Прием металла / Демонтаж / Прием металлолома")</f>
        <v/>
      </c>
      <c r="C71" s="6" t="inlineStr">
        <is>
          <t>Архангельская область</t>
        </is>
      </c>
      <c r="D71" s="6" t="inlineStr">
        <is>
          <t>Новодвинск</t>
        </is>
      </c>
      <c r="E71" s="7" t="inlineStr">
        <is>
          <t>Новодвинск, ул. Фронтовых Бригад, 12</t>
        </is>
      </c>
      <c r="F71" s="6" t="inlineStr"/>
      <c r="G71" s="6" t="inlineStr"/>
      <c r="H71" s="8">
        <f>HYPERLINK("https://www.avito.ru/novodvinsk/uslugi/priem_metalla_demontazh_priem_metalloloma_8023575004","8023575004")</f>
        <v/>
      </c>
    </row>
    <row r="72">
      <c r="A72" s="4" t="inlineStr"/>
      <c r="B72" s="5">
        <f>HYPERLINK("https://www.avito.ru/volhov/uslugi/priem_metalloloma_priem_tsvetnogo_loma_8023852082","Прием металлолома / Прием цветного лома")</f>
        <v/>
      </c>
      <c r="C72" s="6" t="inlineStr">
        <is>
          <t>Ленинградская область</t>
        </is>
      </c>
      <c r="D72" s="6" t="inlineStr">
        <is>
          <t>Волхов</t>
        </is>
      </c>
      <c r="E72" s="7" t="inlineStr">
        <is>
          <t>Волхов, Новгородская ул., 7</t>
        </is>
      </c>
      <c r="F72" s="6" t="inlineStr"/>
      <c r="G72" s="6" t="inlineStr"/>
      <c r="H72" s="8">
        <f>HYPERLINK("https://www.avito.ru/volhov/uslugi/priem_metalloloma_priem_tsvetnogo_loma_8023852082","8023852082")</f>
        <v/>
      </c>
    </row>
    <row r="73">
      <c r="A73" s="4" t="inlineStr"/>
      <c r="B73" s="5">
        <f>HYPERLINK("https://www.avito.ru/sankt-peterburg/uslugi/sdat_babbit_olovo_redkiy_metall_7703458972","Сдать Баббит / Олово/ Редкий металл")</f>
        <v/>
      </c>
      <c r="C73" s="6" t="inlineStr"/>
      <c r="D73" s="6" t="inlineStr">
        <is>
          <t>Санкт-Петербург</t>
        </is>
      </c>
      <c r="E73" s="7" t="inlineStr">
        <is>
          <t>Санкт-Петербург, ул. Одоевского, 29</t>
        </is>
      </c>
      <c r="F73" s="6" t="inlineStr"/>
      <c r="G73" s="6" t="inlineStr"/>
      <c r="H73" s="8">
        <f>HYPERLINK("https://www.avito.ru/sankt-peterburg/uslugi/sdat_babbit_olovo_redkiy_metall_7703458972","7703458972")</f>
        <v/>
      </c>
    </row>
    <row r="74">
      <c r="A74" s="4" t="inlineStr"/>
      <c r="B74" s="5">
        <f>HYPERLINK("https://www.avito.ru/babaevo/uslugi/priem_metalloloma_priem_chernogo_loma_8023186929","Прием металлолома / Прием черного лома")</f>
        <v/>
      </c>
      <c r="C74" s="6" t="inlineStr">
        <is>
          <t>Вологодская область</t>
        </is>
      </c>
      <c r="D74" s="6" t="inlineStr">
        <is>
          <t>Бабаево</t>
        </is>
      </c>
      <c r="E74" s="7" t="inlineStr">
        <is>
          <t>Бабаево, Северная ул., 56</t>
        </is>
      </c>
      <c r="F74" s="6" t="inlineStr"/>
      <c r="G74" s="6" t="inlineStr"/>
      <c r="H74" s="8">
        <f>HYPERLINK("https://www.avito.ru/babaevo/uslugi/priem_metalloloma_priem_chernogo_loma_8023186929","8023186929")</f>
        <v/>
      </c>
    </row>
    <row r="75">
      <c r="A75" s="4" t="inlineStr"/>
      <c r="B75" s="5">
        <f>HYPERLINK("https://www.avito.ru/velikiy_novgorod/uslugi/priem_metalloloma_priem_tsvetnogo_loma_8023691050","Прием металлолома / Прием цветного лома")</f>
        <v/>
      </c>
      <c r="C75" s="6" t="inlineStr">
        <is>
          <t>Новгородская область</t>
        </is>
      </c>
      <c r="D75" s="6" t="inlineStr">
        <is>
          <t>Великий Новгород</t>
        </is>
      </c>
      <c r="E75" s="7" t="inlineStr">
        <is>
          <t>Великий Новгород, Донецкий район, Студенческая ул., 20</t>
        </is>
      </c>
      <c r="F75" s="6" t="inlineStr"/>
      <c r="G75" s="6" t="inlineStr"/>
      <c r="H75" s="8">
        <f>HYPERLINK("https://www.avito.ru/velikiy_novgorod/uslugi/priem_metalloloma_priem_tsvetnogo_loma_8023691050","8023691050")</f>
        <v/>
      </c>
    </row>
    <row r="76">
      <c r="A76" s="4" t="inlineStr"/>
      <c r="B76" s="5">
        <f>HYPERLINK("https://www.avito.ru/cherepovets/uslugi/priem_metalloloma_skupka_metalla_8023232933","Прием металлолома / Скупка металла")</f>
        <v/>
      </c>
      <c r="C76" s="6" t="inlineStr">
        <is>
          <t>Вологодская область</t>
        </is>
      </c>
      <c r="D76" s="6" t="inlineStr">
        <is>
          <t>Череповец</t>
        </is>
      </c>
      <c r="E76" s="7" t="inlineStr">
        <is>
          <t>Череповец, Северное ш., 71А</t>
        </is>
      </c>
      <c r="F76" s="6" t="inlineStr"/>
      <c r="G76" s="6" t="inlineStr"/>
      <c r="H76" s="8">
        <f>HYPERLINK("https://www.avito.ru/cherepovets/uslugi/priem_metalloloma_skupka_metalla_8023232933","8023232933")</f>
        <v/>
      </c>
    </row>
    <row r="77">
      <c r="A77" s="4" t="inlineStr"/>
      <c r="B77" s="5">
        <f>HYPERLINK("https://www.avito.ru/vologodskaya_oblast_sokol/uslugi/priem_metalloloma_demontazh_priem_metalla_8023572584","Прием металлолома / Демонтаж / Прием металла")</f>
        <v/>
      </c>
      <c r="C77" s="6" t="inlineStr">
        <is>
          <t>Вологодская область</t>
        </is>
      </c>
      <c r="D77" s="6" t="inlineStr">
        <is>
          <t>Сокол</t>
        </is>
      </c>
      <c r="E77" s="7" t="inlineStr">
        <is>
          <t>Сокол, Советская ул., 122Б</t>
        </is>
      </c>
      <c r="F77" s="6" t="inlineStr"/>
      <c r="G77" s="6" t="inlineStr"/>
      <c r="H77" s="8">
        <f>HYPERLINK("https://www.avito.ru/vologodskaya_oblast_sokol/uslugi/priem_metalloloma_demontazh_priem_metalla_8023572584","8023572584")</f>
        <v/>
      </c>
    </row>
    <row r="78">
      <c r="A78" s="4" t="inlineStr"/>
      <c r="B78" s="5">
        <f>HYPERLINK("https://www.avito.ru/arhangelsk/uslugi/priem_tsvetnogo_metalloloma_8023675015","Прием цветного металлолома")</f>
        <v/>
      </c>
      <c r="C78" s="6" t="inlineStr">
        <is>
          <t>Архангельская область</t>
        </is>
      </c>
      <c r="D78" s="6" t="inlineStr">
        <is>
          <t>Архангельск</t>
        </is>
      </c>
      <c r="E78" s="7" t="inlineStr">
        <is>
          <t>Архангельск, ул. Октябрят, 27к3</t>
        </is>
      </c>
      <c r="F78" s="6" t="inlineStr"/>
      <c r="G78" s="6" t="inlineStr"/>
      <c r="H78" s="8">
        <f>HYPERLINK("https://www.avito.ru/arhangelsk/uslugi/priem_tsvetnogo_metalloloma_8023675015","8023675015")</f>
        <v/>
      </c>
    </row>
    <row r="79">
      <c r="A79" s="4" t="inlineStr"/>
      <c r="B79" s="5">
        <f>HYPERLINK("https://www.avito.ru/kipen/uslugi/priem_metalloloma_vyvoz_metalloloma_8023683930","Прием металлолома/ Вывоз металлолома")</f>
        <v/>
      </c>
      <c r="C79" s="6" t="inlineStr">
        <is>
          <t>Ленинградская область</t>
        </is>
      </c>
      <c r="D79" s="6" t="inlineStr">
        <is>
          <t>Кипень</t>
        </is>
      </c>
      <c r="E79" s="7" t="inlineStr">
        <is>
          <t>д. Кипень, Ропшинское ш., 66</t>
        </is>
      </c>
      <c r="F79" s="6" t="inlineStr"/>
      <c r="G79" s="6" t="inlineStr"/>
      <c r="H79" s="8">
        <f>HYPERLINK("https://www.avito.ru/kipen/uslugi/priem_metalloloma_vyvoz_metalloloma_8023683930","8023683930")</f>
        <v/>
      </c>
    </row>
    <row r="80">
      <c r="A80" s="4" t="inlineStr"/>
      <c r="B80" s="5">
        <f>HYPERLINK("https://www.avito.ru/boksitogorsk/uslugi/priem_tsvetnogo_metalloloma_8023801800","Прием цветного металлолома")</f>
        <v/>
      </c>
      <c r="C80" s="6" t="inlineStr">
        <is>
          <t>Ленинградская область</t>
        </is>
      </c>
      <c r="D80" s="6" t="inlineStr">
        <is>
          <t>Бокситогорск</t>
        </is>
      </c>
      <c r="E80" s="7" t="inlineStr">
        <is>
          <t>Бокситогорск, Дымское ш., 1</t>
        </is>
      </c>
      <c r="F80" s="6" t="inlineStr"/>
      <c r="G80" s="6" t="inlineStr"/>
      <c r="H80" s="8">
        <f>HYPERLINK("https://www.avito.ru/boksitogorsk/uslugi/priem_tsvetnogo_metalloloma_8023801800","8023801800")</f>
        <v/>
      </c>
    </row>
    <row r="81">
      <c r="A81" s="4" t="inlineStr"/>
      <c r="B81" s="5">
        <f>HYPERLINK("https://www.avito.ru/vsevolozhsk/uslugi/priem_metalloloma_priem_chernogo_loma_8023893419","Прием металлолома / Прием черного лома")</f>
        <v/>
      </c>
      <c r="C81" s="6" t="inlineStr">
        <is>
          <t>Ленинградская область</t>
        </is>
      </c>
      <c r="D81" s="6" t="inlineStr">
        <is>
          <t>Всеволожск</t>
        </is>
      </c>
      <c r="E81" s="7" t="inlineStr">
        <is>
          <t>Всеволожск, Лиственная ул., 16</t>
        </is>
      </c>
      <c r="F81" s="6" t="inlineStr"/>
      <c r="G81" s="6" t="inlineStr"/>
      <c r="H81" s="8">
        <f>HYPERLINK("https://www.avito.ru/vsevolozhsk/uslugi/priem_metalloloma_priem_chernogo_loma_8023893419","8023893419")</f>
        <v/>
      </c>
    </row>
    <row r="82">
      <c r="A82" s="4" t="inlineStr"/>
      <c r="B82" s="5">
        <f>HYPERLINK("https://www.avito.ru/kirishi/uslugi/priem_loma_tsvetnyh_metallov_8023447065","Прием лома цветных металлов")</f>
        <v/>
      </c>
      <c r="C82" s="6" t="inlineStr">
        <is>
          <t>Ленинградская область</t>
        </is>
      </c>
      <c r="D82" s="6" t="inlineStr">
        <is>
          <t>Кириши</t>
        </is>
      </c>
      <c r="E82" s="7" t="inlineStr">
        <is>
          <t>Кириши, ш. Энтузиастов, 6А</t>
        </is>
      </c>
      <c r="F82" s="6" t="inlineStr"/>
      <c r="G82" s="6" t="inlineStr"/>
      <c r="H82" s="8">
        <f>HYPERLINK("https://www.avito.ru/kirishi/uslugi/priem_loma_tsvetnyh_metallov_8023447065","8023447065")</f>
        <v/>
      </c>
    </row>
    <row r="83">
      <c r="A83" s="4" t="inlineStr"/>
      <c r="B83" s="5">
        <f>HYPERLINK("https://www.avito.ru/babaevo/uslugi/priem_metalloloma_priem_tsvetnogo_loma_8023479683","Прием металлолома / Прием цветного лома")</f>
        <v/>
      </c>
      <c r="C83" s="6" t="inlineStr">
        <is>
          <t>Вологодская область</t>
        </is>
      </c>
      <c r="D83" s="6" t="inlineStr">
        <is>
          <t>Бабаево</t>
        </is>
      </c>
      <c r="E83" s="7" t="inlineStr">
        <is>
          <t>Бабаево, Северная ул., 56</t>
        </is>
      </c>
      <c r="F83" s="6" t="inlineStr"/>
      <c r="G83" s="6" t="inlineStr"/>
      <c r="H83" s="8">
        <f>HYPERLINK("https://www.avito.ru/babaevo/uslugi/priem_metalloloma_priem_tsvetnogo_loma_8023479683","8023479683")</f>
        <v/>
      </c>
    </row>
    <row r="84">
      <c r="A84" s="4" t="inlineStr"/>
      <c r="B84" s="5">
        <f>HYPERLINK("https://www.avito.ru/sankt-peterburg/uslugi/priem_metalla_sdat_lom_vyvoz_loma_8023505295","Приём металла /Сдать лом / Вывоз лома")</f>
        <v/>
      </c>
      <c r="C84" s="6" t="inlineStr"/>
      <c r="D84" s="6" t="inlineStr">
        <is>
          <t>Санкт-Петербург</t>
        </is>
      </c>
      <c r="E84" s="7" t="inlineStr">
        <is>
          <t>Санкт-Петербург, ул. Савушкина, 2</t>
        </is>
      </c>
      <c r="F84" s="6" t="inlineStr"/>
      <c r="G84" s="6" t="inlineStr"/>
      <c r="H84" s="8">
        <f>HYPERLINK("https://www.avito.ru/sankt-peterburg/uslugi/priem_metalla_sdat_lom_vyvoz_loma_8023505295","8023505295")</f>
        <v/>
      </c>
    </row>
    <row r="85">
      <c r="A85" s="4" t="inlineStr"/>
      <c r="B85" s="5">
        <f>HYPERLINK("https://www.avito.ru/ostrov/uslugi/priem_metalloloma_demontazh_vyvoz_metalla_8023553842","Прием металлолома / Демонтаж / Вывоз металла")</f>
        <v/>
      </c>
      <c r="C85" s="6" t="inlineStr">
        <is>
          <t>Псковская область</t>
        </is>
      </c>
      <c r="D85" s="6" t="inlineStr">
        <is>
          <t>Остров</t>
        </is>
      </c>
      <c r="E85" s="7" t="inlineStr">
        <is>
          <t>Остров, ул. Карла Маркса, 90Б</t>
        </is>
      </c>
      <c r="F85" s="6" t="inlineStr"/>
      <c r="G85" s="6" t="inlineStr"/>
      <c r="H85" s="8">
        <f>HYPERLINK("https://www.avito.ru/ostrov/uslugi/priem_metalloloma_demontazh_vyvoz_metalla_8023553842","8023553842")</f>
        <v/>
      </c>
    </row>
    <row r="86">
      <c r="A86" s="4" t="inlineStr"/>
      <c r="B86" s="5">
        <f>HYPERLINK("https://www.avito.ru/ivangorod/uslugi/priem_loma_tsvetnyh_metallov_8023847196","Прием лома цветных металлов")</f>
        <v/>
      </c>
      <c r="C86" s="6" t="inlineStr">
        <is>
          <t>Ленинградская область</t>
        </is>
      </c>
      <c r="D86" s="6" t="inlineStr">
        <is>
          <t>Ивангород</t>
        </is>
      </c>
      <c r="E86" s="7" t="inlineStr">
        <is>
          <t>Ивангород, Кингисеппское ш.</t>
        </is>
      </c>
      <c r="F86" s="6" t="inlineStr"/>
      <c r="G86" s="6" t="inlineStr"/>
      <c r="H86" s="8">
        <f>HYPERLINK("https://www.avito.ru/ivangorod/uslugi/priem_loma_tsvetnyh_metallov_8023847196","8023847196")</f>
        <v/>
      </c>
    </row>
    <row r="87">
      <c r="A87" s="4" t="inlineStr"/>
      <c r="B87" s="5">
        <f>HYPERLINK("https://www.avito.ru/severodvinsk/uslugi/priem_metalloloma_priem_chernogo_loma_8023162232","Прием металлолома / Прием черного лома")</f>
        <v/>
      </c>
      <c r="C87" s="6" t="inlineStr">
        <is>
          <t>Архангельская область</t>
        </is>
      </c>
      <c r="D87" s="6" t="inlineStr">
        <is>
          <t>Северодвинск</t>
        </is>
      </c>
      <c r="E87" s="7" t="inlineStr">
        <is>
          <t>Северодвинск, Ягринское ш., 2А</t>
        </is>
      </c>
      <c r="F87" s="6" t="inlineStr"/>
      <c r="G87" s="6" t="inlineStr"/>
      <c r="H87" s="8">
        <f>HYPERLINK("https://www.avito.ru/severodvinsk/uslugi/priem_metalloloma_priem_chernogo_loma_8023162232","8023162232")</f>
        <v/>
      </c>
    </row>
    <row r="88">
      <c r="A88" s="4" t="inlineStr"/>
      <c r="B88" s="5">
        <f>HYPERLINK("https://www.avito.ru/sankt-peterburg/uslugi/priem_metalla_demontazh_priem_metalloloma_8023306105","Прием металла / Демонтаж / Прием металлолома")</f>
        <v/>
      </c>
      <c r="C88" s="6" t="inlineStr"/>
      <c r="D88" s="6" t="inlineStr">
        <is>
          <t>Санкт-Петербург</t>
        </is>
      </c>
      <c r="E88" s="7" t="inlineStr">
        <is>
          <t>Санкт-Петербург, Центральный район, Кирпичный пер., 1</t>
        </is>
      </c>
      <c r="F88" s="6" t="inlineStr"/>
      <c r="G88" s="6" t="inlineStr"/>
      <c r="H88" s="8">
        <f>HYPERLINK("https://www.avito.ru/sankt-peterburg/uslugi/priem_metalla_demontazh_priem_metalloloma_8023306105","8023306105")</f>
        <v/>
      </c>
    </row>
    <row r="89">
      <c r="A89" s="4" t="inlineStr"/>
      <c r="B89" s="5">
        <f>HYPERLINK("https://www.avito.ru/kommynary/uslugi/priem_metalloloma_priem_chernogo_loma_8023020949","Прием металлолома / Прием черного лома")</f>
        <v/>
      </c>
      <c r="C89" s="6" t="inlineStr">
        <is>
          <t>Ленинградская область</t>
        </is>
      </c>
      <c r="D89" s="6" t="inlineStr">
        <is>
          <t>Коммунары</t>
        </is>
      </c>
      <c r="E89" s="7" t="inlineStr">
        <is>
          <t>пос. Коммунары, Центральная ул.</t>
        </is>
      </c>
      <c r="F89" s="6" t="inlineStr"/>
      <c r="G89" s="6" t="inlineStr"/>
      <c r="H89" s="8">
        <f>HYPERLINK("https://www.avito.ru/kommynary/uslugi/priem_metalloloma_priem_chernogo_loma_8023020949","8023020949")</f>
        <v/>
      </c>
    </row>
    <row r="90">
      <c r="A90" s="4" t="inlineStr"/>
      <c r="B90" s="5">
        <f>HYPERLINK("https://www.avito.ru/sankt-peterburg/uslugi/priem_metalloloma_demontazh_vyvoz_metalla_8023096314","Прием металлолома / Демонтаж / Вывоз металла")</f>
        <v/>
      </c>
      <c r="C90" s="6" t="inlineStr"/>
      <c r="D90" s="6" t="inlineStr">
        <is>
          <t>Санкт-Петербург</t>
        </is>
      </c>
      <c r="E90" s="7" t="inlineStr">
        <is>
          <t>Санкт-Петербург, б-р Новаторов, 73к4А</t>
        </is>
      </c>
      <c r="F90" s="6" t="inlineStr"/>
      <c r="G90" s="6" t="inlineStr"/>
      <c r="H90" s="8">
        <f>HYPERLINK("https://www.avito.ru/sankt-peterburg/uslugi/priem_metalloloma_demontazh_vyvoz_metalla_8023096314","8023096314")</f>
        <v/>
      </c>
    </row>
    <row r="91">
      <c r="A91" s="4" t="inlineStr"/>
      <c r="B91" s="5">
        <f>HYPERLINK("https://www.avito.ru/leningradskaya_oblast_sosnovyy_bor/uslugi/priem_metalloloma_priem_chernogo_loma_8023257260","Прием металлолома / Прием черного лома")</f>
        <v/>
      </c>
      <c r="C91" s="6" t="inlineStr">
        <is>
          <t>Ленинградская область</t>
        </is>
      </c>
      <c r="D91" s="6" t="inlineStr">
        <is>
          <t>Сосновый Бор</t>
        </is>
      </c>
      <c r="E91" s="7" t="inlineStr">
        <is>
          <t>Сосновый Бор, Ракопежское ш., 32</t>
        </is>
      </c>
      <c r="F91" s="6" t="inlineStr"/>
      <c r="G91" s="6" t="inlineStr"/>
      <c r="H91" s="8">
        <f>HYPERLINK("https://www.avito.ru/leningradskaya_oblast_sosnovyy_bor/uslugi/priem_metalloloma_priem_chernogo_loma_8023257260","8023257260")</f>
        <v/>
      </c>
    </row>
    <row r="92">
      <c r="A92" s="4" t="inlineStr"/>
      <c r="B92" s="5">
        <f>HYPERLINK("https://www.avito.ru/tosno/uslugi/priem_metalloloma_priem_chernogo_loma_8023523582","Прием металлолома / Прием черного лома")</f>
        <v/>
      </c>
      <c r="C92" s="6" t="inlineStr">
        <is>
          <t>Ленинградская область</t>
        </is>
      </c>
      <c r="D92" s="6" t="inlineStr">
        <is>
          <t>Тосно</t>
        </is>
      </c>
      <c r="E92" s="7" t="inlineStr">
        <is>
          <t>Тосно, Октябрьская ул., 125Л</t>
        </is>
      </c>
      <c r="F92" s="6" t="inlineStr"/>
      <c r="G92" s="6" t="inlineStr"/>
      <c r="H92" s="8">
        <f>HYPERLINK("https://www.avito.ru/tosno/uslugi/priem_metalloloma_priem_chernogo_loma_8023523582","8023523582")</f>
        <v/>
      </c>
    </row>
    <row r="93">
      <c r="A93" s="4" t="inlineStr"/>
      <c r="B93" s="5">
        <f>HYPERLINK("https://www.avito.ru/luga/uslugi/priem_metalloloma_priem_loma_demontazh_8023531222","Прием металлолома / Прием лома / Демонтаж")</f>
        <v/>
      </c>
      <c r="C93" s="6" t="inlineStr">
        <is>
          <t>Ленинградская область</t>
        </is>
      </c>
      <c r="D93" s="6" t="inlineStr">
        <is>
          <t>Луга</t>
        </is>
      </c>
      <c r="E93" s="7" t="inlineStr">
        <is>
          <t>Луга, Старорусская ул., 13Г</t>
        </is>
      </c>
      <c r="F93" s="6" t="inlineStr"/>
      <c r="G93" s="6" t="inlineStr"/>
      <c r="H93" s="8">
        <f>HYPERLINK("https://www.avito.ru/luga/uslugi/priem_metalloloma_priem_loma_demontazh_8023531222","8023531222")</f>
        <v/>
      </c>
    </row>
    <row r="94">
      <c r="A94" s="4" t="inlineStr"/>
      <c r="B94" s="5">
        <f>HYPERLINK("https://www.avito.ru/gryazovets/uslugi/priem_tsvetnogo_metalloloma_8023774238","Прием цветного металлолома")</f>
        <v/>
      </c>
      <c r="C94" s="6" t="inlineStr">
        <is>
          <t>Вологодская область</t>
        </is>
      </c>
      <c r="D94" s="6" t="inlineStr">
        <is>
          <t>Грязовец</t>
        </is>
      </c>
      <c r="E94" s="7" t="inlineStr">
        <is>
          <t>Грязовец, ул. Волкова, 11/2</t>
        </is>
      </c>
      <c r="F94" s="6" t="inlineStr"/>
      <c r="G94" s="6" t="inlineStr"/>
      <c r="H94" s="8">
        <f>HYPERLINK("https://www.avito.ru/gryazovets/uslugi/priem_tsvetnogo_metalloloma_8023774238","8023774238")</f>
        <v/>
      </c>
    </row>
    <row r="95">
      <c r="A95" s="4" t="inlineStr"/>
      <c r="B95" s="5">
        <f>HYPERLINK("https://www.avito.ru/slantsy/uslugi/priem_i_vyvoz_metalloloma_sdat_lom_8023825946","Прием и вывоз металлолома / Сдать лом")</f>
        <v/>
      </c>
      <c r="C95" s="6" t="inlineStr">
        <is>
          <t>Ленинградская область</t>
        </is>
      </c>
      <c r="D95" s="6" t="inlineStr">
        <is>
          <t>Сланцы</t>
        </is>
      </c>
      <c r="E95" s="7" t="inlineStr">
        <is>
          <t>Сланцы, Сланцевское ш., 32Б</t>
        </is>
      </c>
      <c r="F95" s="6" t="inlineStr"/>
      <c r="G95" s="6" t="inlineStr"/>
      <c r="H95" s="8">
        <f>HYPERLINK("https://www.avito.ru/slantsy/uslugi/priem_i_vyvoz_metalloloma_sdat_lom_8023825946","8023825946")</f>
        <v/>
      </c>
    </row>
    <row r="96">
      <c r="A96" s="4" t="inlineStr"/>
      <c r="B96" s="5">
        <f>HYPERLINK("https://www.avito.ru/kaduy/uslugi/priem_metalloloma_priem_chernogo_loma_8022914664","Прием металлолома / Прием черного лома")</f>
        <v/>
      </c>
      <c r="C96" s="6" t="inlineStr">
        <is>
          <t>Вологодская область</t>
        </is>
      </c>
      <c r="D96" s="6" t="inlineStr">
        <is>
          <t>Кадуй</t>
        </is>
      </c>
      <c r="E96" s="7" t="inlineStr">
        <is>
          <t>рп. Кадуй, Советская ул., 3</t>
        </is>
      </c>
      <c r="F96" s="6" t="inlineStr"/>
      <c r="G96" s="6" t="inlineStr"/>
      <c r="H96" s="8">
        <f>HYPERLINK("https://www.avito.ru/kaduy/uslugi/priem_metalloloma_priem_chernogo_loma_8022914664","8022914664")</f>
        <v/>
      </c>
    </row>
    <row r="97">
      <c r="A97" s="4" t="inlineStr"/>
      <c r="B97" s="5">
        <f>HYPERLINK("https://www.avito.ru/sankt-peterburg/uslugi/priem_metalla_sdat_lom_vyvoz_loma_8022960985","Приём металла /Сдать лом / Вывоз лома")</f>
        <v/>
      </c>
      <c r="C97" s="6" t="inlineStr"/>
      <c r="D97" s="6" t="inlineStr">
        <is>
          <t>Санкт-Петербург</t>
        </is>
      </c>
      <c r="E97" s="7" t="inlineStr">
        <is>
          <t>Санкт-Петербург, пр-т Стачек, 70</t>
        </is>
      </c>
      <c r="F97" s="6" t="inlineStr"/>
      <c r="G97" s="6" t="inlineStr"/>
      <c r="H97" s="8">
        <f>HYPERLINK("https://www.avito.ru/sankt-peterburg/uslugi/priem_metalla_sdat_lom_vyvoz_loma_8022960985","8022960985")</f>
        <v/>
      </c>
    </row>
    <row r="98">
      <c r="A98" s="4" t="inlineStr"/>
      <c r="B98" s="5">
        <f>HYPERLINK("https://www.avito.ru/nevel/uslugi/priem_metalloloma_priem_tsvetnogo_loma_8022976531","Прием металлолома / Прием цветного лома")</f>
        <v/>
      </c>
      <c r="C98" s="6" t="inlineStr">
        <is>
          <t>Псковская область</t>
        </is>
      </c>
      <c r="D98" s="6" t="inlineStr">
        <is>
          <t>Невель</t>
        </is>
      </c>
      <c r="E98" s="7" t="inlineStr">
        <is>
          <t>Невель, ул. Урицкого, 116</t>
        </is>
      </c>
      <c r="F98" s="6" t="inlineStr"/>
      <c r="G98" s="6" t="inlineStr"/>
      <c r="H98" s="8">
        <f>HYPERLINK("https://www.avito.ru/nevel/uslugi/priem_metalloloma_priem_tsvetnogo_loma_8022976531","8022976531")</f>
        <v/>
      </c>
    </row>
    <row r="99">
      <c r="A99" s="4" t="inlineStr"/>
      <c r="B99" s="5">
        <f>HYPERLINK("https://www.avito.ru/vologda/uslugi/priem_metalloloma_demontazh_vyvoz_metalla_8023240033","Прием металлолома / Демонтаж / Вывоз металла")</f>
        <v/>
      </c>
      <c r="C99" s="6" t="inlineStr">
        <is>
          <t>Вологодская область</t>
        </is>
      </c>
      <c r="D99" s="6" t="inlineStr">
        <is>
          <t>Вологда</t>
        </is>
      </c>
      <c r="E99" s="7" t="inlineStr">
        <is>
          <t>Вологда, ул. Чернышевского, 141А</t>
        </is>
      </c>
      <c r="F99" s="6" t="inlineStr"/>
      <c r="G99" s="6" t="inlineStr"/>
      <c r="H99" s="8">
        <f>HYPERLINK("https://www.avito.ru/vologda/uslugi/priem_metalloloma_demontazh_vyvoz_metalla_8023240033","8023240033")</f>
        <v/>
      </c>
    </row>
    <row r="100">
      <c r="A100" s="4" t="inlineStr"/>
      <c r="B100" s="5">
        <f>HYPERLINK("https://www.avito.ru/vytegra/uslugi/priem_metalloloma_priem_chernogo_loma_opt_8023402845","Прием металлолома / Прием черного лома опт")</f>
        <v/>
      </c>
      <c r="C100" s="6" t="inlineStr">
        <is>
          <t>Вологодская область</t>
        </is>
      </c>
      <c r="D100" s="6" t="inlineStr">
        <is>
          <t>Вытегра</t>
        </is>
      </c>
      <c r="E100" s="7" t="inlineStr">
        <is>
          <t>Вытегра, Вологодская ул., 1</t>
        </is>
      </c>
      <c r="F100" s="6" t="inlineStr"/>
      <c r="G100" s="6" t="inlineStr"/>
      <c r="H100" s="8">
        <f>HYPERLINK("https://www.avito.ru/vytegra/uslugi/priem_metalloloma_priem_chernogo_loma_opt_8023402845","8023402845")</f>
        <v/>
      </c>
    </row>
    <row r="101">
      <c r="A101" s="4" t="inlineStr"/>
      <c r="B101" s="5">
        <f>HYPERLINK("https://www.avito.ru/malaya_vishera/uslugi/priem_tsvetnogo_metalloloma_8023493224","Прием цветного металлолома")</f>
        <v/>
      </c>
      <c r="C101" s="6" t="inlineStr">
        <is>
          <t>Новгородская область</t>
        </is>
      </c>
      <c r="D101" s="6" t="inlineStr">
        <is>
          <t>Малая Вишера</t>
        </is>
      </c>
      <c r="E101" s="7" t="inlineStr">
        <is>
          <t>Малая Вишера</t>
        </is>
      </c>
      <c r="F101" s="6" t="inlineStr"/>
      <c r="G101" s="6" t="inlineStr"/>
      <c r="H101" s="8">
        <f>HYPERLINK("https://www.avito.ru/malaya_vishera/uslugi/priem_tsvetnogo_metalloloma_8023493224","8023493224")</f>
        <v/>
      </c>
    </row>
    <row r="102">
      <c r="A102" s="4" t="inlineStr"/>
      <c r="B102" s="5">
        <f>HYPERLINK("https://www.avito.ru/kaduy/uslugi/priem_loma_tsvetnyh_metallov_8023564698","Прием лома цветных металлов")</f>
        <v/>
      </c>
      <c r="C102" s="6" t="inlineStr">
        <is>
          <t>Вологодская область</t>
        </is>
      </c>
      <c r="D102" s="6" t="inlineStr">
        <is>
          <t>Кадуй</t>
        </is>
      </c>
      <c r="E102" s="7" t="inlineStr">
        <is>
          <t>рп. Кадуй, Советская ул., 3</t>
        </is>
      </c>
      <c r="F102" s="6" t="inlineStr"/>
      <c r="G102" s="6" t="inlineStr"/>
      <c r="H102" s="8">
        <f>HYPERLINK("https://www.avito.ru/kaduy/uslugi/priem_loma_tsvetnyh_metallov_8023564698","8023564698")</f>
        <v/>
      </c>
    </row>
    <row r="103">
      <c r="A103" s="4" t="inlineStr"/>
      <c r="B103" s="5">
        <f>HYPERLINK("https://www.avito.ru/sankt-peterburg/uslugi/priem_metalloloma_priem_loma_demontazh_8023567066","Прием металлолома / Прием лома / Демонтаж")</f>
        <v/>
      </c>
      <c r="C103" s="6" t="inlineStr"/>
      <c r="D103" s="6" t="inlineStr">
        <is>
          <t>Санкт-Петербург</t>
        </is>
      </c>
      <c r="E103" s="7" t="inlineStr">
        <is>
          <t>Санкт-Петербург, ул. Смолячкова, 21</t>
        </is>
      </c>
      <c r="F103" s="6" t="inlineStr"/>
      <c r="G103" s="6" t="inlineStr"/>
      <c r="H103" s="8">
        <f>HYPERLINK("https://www.avito.ru/sankt-peterburg/uslugi/priem_metalloloma_priem_loma_demontazh_8023567066","8023567066")</f>
        <v/>
      </c>
    </row>
    <row r="104">
      <c r="A104" s="4" t="inlineStr"/>
      <c r="B104" s="5">
        <f>HYPERLINK("https://www.avito.ru/chudovo/uslugi/priem_metalloloma_priem_chernogo_loma_opt_8023682037","Прием металлолома / Прием черного лома опт")</f>
        <v/>
      </c>
      <c r="C104" s="6" t="inlineStr">
        <is>
          <t>Новгородская область</t>
        </is>
      </c>
      <c r="D104" s="6" t="inlineStr">
        <is>
          <t>Чудово</t>
        </is>
      </c>
      <c r="E104" s="7" t="inlineStr">
        <is>
          <t>Чудово, ул. Губина, 1В</t>
        </is>
      </c>
      <c r="F104" s="6" t="inlineStr"/>
      <c r="G104" s="6" t="inlineStr"/>
      <c r="H104" s="8">
        <f>HYPERLINK("https://www.avito.ru/chudovo/uslugi/priem_metalloloma_priem_chernogo_loma_opt_8023682037","8023682037")</f>
        <v/>
      </c>
    </row>
    <row r="105">
      <c r="A105" s="4" t="inlineStr"/>
      <c r="B105" s="5">
        <f>HYPERLINK("https://www.avito.ru/sankt-peterburg/uslugi/priem_loma_priem_tsvetnogo_loma_priem_chermeta_8023815080","Прием лома / Прием цветного лома / Прием чермета")</f>
        <v/>
      </c>
      <c r="C105" s="6" t="inlineStr"/>
      <c r="D105" s="6" t="inlineStr">
        <is>
          <t>Санкт-Петербург</t>
        </is>
      </c>
      <c r="E105" s="7" t="inlineStr">
        <is>
          <t>Санкт-Петербург, ул. Дыбенко, 26</t>
        </is>
      </c>
      <c r="F105" s="6" t="inlineStr"/>
      <c r="G105" s="6" t="inlineStr"/>
      <c r="H105" s="8">
        <f>HYPERLINK("https://www.avito.ru/sankt-peterburg/uslugi/priem_loma_priem_tsvetnogo_loma_priem_chermeta_8023815080","8023815080")</f>
        <v/>
      </c>
    </row>
    <row r="106">
      <c r="A106" s="4" t="inlineStr"/>
      <c r="B106" s="5">
        <f>HYPERLINK("https://www.avito.ru/novodvinsk/uslugi/priem_loma_tsvetnyh_metallov_8023897028","Прием лома цветных металлов")</f>
        <v/>
      </c>
      <c r="C106" s="6" t="inlineStr">
        <is>
          <t>Архангельская область</t>
        </is>
      </c>
      <c r="D106" s="6" t="inlineStr">
        <is>
          <t>Новодвинск</t>
        </is>
      </c>
      <c r="E106" s="7" t="inlineStr">
        <is>
          <t>Новодвинск, ул. Фронтовых Бригад, 12</t>
        </is>
      </c>
      <c r="F106" s="6" t="inlineStr"/>
      <c r="G106" s="6" t="inlineStr"/>
      <c r="H106" s="8">
        <f>HYPERLINK("https://www.avito.ru/novodvinsk/uslugi/priem_loma_tsvetnyh_metallov_8023897028","8023897028")</f>
        <v/>
      </c>
    </row>
    <row r="107">
      <c r="A107" s="4" t="inlineStr"/>
      <c r="B107" s="5">
        <f>HYPERLINK("https://www.avito.ru/sankt-peterburg/uslugi/priem_metalla_sdat_lom_vyvoz_loma_8023184338","Приём металла /Сдать лом / Вывоз лома")</f>
        <v/>
      </c>
      <c r="C107" s="6" t="inlineStr"/>
      <c r="D107" s="6" t="inlineStr">
        <is>
          <t>Санкт-Петербург</t>
        </is>
      </c>
      <c r="E107" s="7" t="inlineStr">
        <is>
          <t>Санкт-Петербург, пр-т Энгельса, 162Р</t>
        </is>
      </c>
      <c r="F107" s="6" t="inlineStr"/>
      <c r="G107" s="6" t="inlineStr"/>
      <c r="H107" s="8">
        <f>HYPERLINK("https://www.avito.ru/sankt-peterburg/uslugi/priem_metalla_sdat_lom_vyvoz_loma_8023184338","8023184338")</f>
        <v/>
      </c>
    </row>
    <row r="108">
      <c r="A108" s="4" t="inlineStr"/>
      <c r="B108" s="5">
        <f>HYPERLINK("https://www.avito.ru/arhangelsk/uslugi/priem_metalloloma_priem_chernogo_loma_opt_8023193315","Прием металлолома / Прием черного лома опт")</f>
        <v/>
      </c>
      <c r="C108" s="6" t="inlineStr">
        <is>
          <t>Архангельская область</t>
        </is>
      </c>
      <c r="D108" s="6" t="inlineStr">
        <is>
          <t>Архангельск</t>
        </is>
      </c>
      <c r="E108" s="7" t="inlineStr">
        <is>
          <t>Архангельск, ул. Октябрят, 27к3</t>
        </is>
      </c>
      <c r="F108" s="6" t="inlineStr"/>
      <c r="G108" s="6" t="inlineStr"/>
      <c r="H108" s="8">
        <f>HYPERLINK("https://www.avito.ru/arhangelsk/uslugi/priem_metalloloma_priem_chernogo_loma_opt_8023193315","8023193315")</f>
        <v/>
      </c>
    </row>
    <row r="109">
      <c r="A109" s="4" t="inlineStr"/>
      <c r="B109" s="5">
        <f>HYPERLINK("https://www.avito.ru/lodeynoe_pole/uslugi/priem_tsvetnogo_metalloloma_8023636668","Прием цветного металлолома")</f>
        <v/>
      </c>
      <c r="C109" s="6" t="inlineStr">
        <is>
          <t>Ленинградская область</t>
        </is>
      </c>
      <c r="D109" s="6" t="inlineStr">
        <is>
          <t>Лодейное Поле</t>
        </is>
      </c>
      <c r="E109" s="7" t="inlineStr">
        <is>
          <t>Лодейное Поле</t>
        </is>
      </c>
      <c r="F109" s="6" t="inlineStr"/>
      <c r="G109" s="6" t="inlineStr"/>
      <c r="H109" s="8">
        <f>HYPERLINK("https://www.avito.ru/lodeynoe_pole/uslugi/priem_tsvetnogo_metalloloma_8023636668","8023636668")</f>
        <v/>
      </c>
    </row>
    <row r="110">
      <c r="A110" s="4" t="inlineStr"/>
      <c r="B110" s="5">
        <f>HYPERLINK("https://www.avito.ru/gostilitsy/uslugi/priem_metalloloma_priem_chernogo_loma_opt_8023701510","Прием металлолома / Прием черного лома опт")</f>
        <v/>
      </c>
      <c r="C110" s="6" t="inlineStr">
        <is>
          <t>Ленинградская область</t>
        </is>
      </c>
      <c r="D110" s="6" t="inlineStr">
        <is>
          <t>Гостилицы</t>
        </is>
      </c>
      <c r="E110" s="7" t="inlineStr">
        <is>
          <t>д. Оржицы</t>
        </is>
      </c>
      <c r="F110" s="6" t="inlineStr"/>
      <c r="G110" s="6" t="inlineStr"/>
      <c r="H110" s="8">
        <f>HYPERLINK("https://www.avito.ru/gostilitsy/uslugi/priem_metalloloma_priem_chernogo_loma_opt_8023701510","8023701510")</f>
        <v/>
      </c>
    </row>
    <row r="111">
      <c r="A111" s="4" t="inlineStr"/>
      <c r="B111" s="5">
        <f>HYPERLINK("https://www.avito.ru/sertolovo/uslugi/priem_tsvetnogo_metalloloma_8023705532","Прием цветного металлолома")</f>
        <v/>
      </c>
      <c r="C111" s="6" t="inlineStr">
        <is>
          <t>Ленинградская область</t>
        </is>
      </c>
      <c r="D111" s="6" t="inlineStr">
        <is>
          <t>Сертолово</t>
        </is>
      </c>
      <c r="E111" s="7" t="inlineStr">
        <is>
          <t>Сертолово, Песочная ул., 8к1</t>
        </is>
      </c>
      <c r="F111" s="6" t="inlineStr"/>
      <c r="G111" s="6" t="inlineStr"/>
      <c r="H111" s="8">
        <f>HYPERLINK("https://www.avito.ru/sertolovo/uslugi/priem_tsvetnogo_metalloloma_8023705532","8023705532")</f>
        <v/>
      </c>
    </row>
    <row r="112">
      <c r="A112" s="4" t="inlineStr"/>
      <c r="B112" s="5">
        <f>HYPERLINK("https://www.avito.ru/staraya_russa/uslugi/priem_i_vyvoz_metalloloma_sdat_lom_8023717938","Прием и вывоз металлолома / Сдать лом")</f>
        <v/>
      </c>
      <c r="C112" s="6" t="inlineStr">
        <is>
          <t>Новгородская область</t>
        </is>
      </c>
      <c r="D112" s="6" t="inlineStr">
        <is>
          <t>Старая Русса</t>
        </is>
      </c>
      <c r="E112" s="7" t="inlineStr">
        <is>
          <t>Старая Русса, ул. Кириллова</t>
        </is>
      </c>
      <c r="F112" s="6" t="inlineStr"/>
      <c r="G112" s="6" t="inlineStr"/>
      <c r="H112" s="8">
        <f>HYPERLINK("https://www.avito.ru/staraya_russa/uslugi/priem_i_vyvoz_metalloloma_sdat_lom_8023717938","8023717938")</f>
        <v/>
      </c>
    </row>
    <row r="113">
      <c r="A113" s="4" t="inlineStr"/>
      <c r="B113" s="5">
        <f>HYPERLINK("https://www.avito.ru/sankt-peterburg/uslugi/priem_i_vyvoz_metalloloma_priem_redkih_metallov_8023797939","Прием и вывоз металлолома / Прием редких металлов")</f>
        <v/>
      </c>
      <c r="C113" s="6" t="inlineStr"/>
      <c r="D113" s="6" t="inlineStr">
        <is>
          <t>Санкт-Петербург</t>
        </is>
      </c>
      <c r="E113" s="7" t="inlineStr">
        <is>
          <t>Санкт-Петербург, Дворцовая пл.</t>
        </is>
      </c>
      <c r="F113" s="6" t="inlineStr"/>
      <c r="G113" s="6" t="inlineStr"/>
      <c r="H113" s="8">
        <f>HYPERLINK("https://www.avito.ru/sankt-peterburg/uslugi/priem_i_vyvoz_metalloloma_priem_redkih_metallov_8023797939","8023797939")</f>
        <v/>
      </c>
    </row>
    <row r="114">
      <c r="A114" s="4" t="inlineStr"/>
      <c r="B114" s="5">
        <f>HYPERLINK("https://www.avito.ru/gryazovets/uslugi/priem_i_vyvoz_metalloloma_sdat_lom_8023830451","Прием и вывоз металлолома / Сдать лом")</f>
        <v/>
      </c>
      <c r="C114" s="6" t="inlineStr">
        <is>
          <t>Вологодская область</t>
        </is>
      </c>
      <c r="D114" s="6" t="inlineStr">
        <is>
          <t>Грязовец</t>
        </is>
      </c>
      <c r="E114" s="7" t="inlineStr">
        <is>
          <t>Грязовец, ул. Волкова, 11/2</t>
        </is>
      </c>
      <c r="F114" s="6" t="inlineStr"/>
      <c r="G114" s="6" t="inlineStr"/>
      <c r="H114" s="8">
        <f>HYPERLINK("https://www.avito.ru/gryazovets/uslugi/priem_i_vyvoz_metalloloma_sdat_lom_8023830451","8023830451")</f>
        <v/>
      </c>
    </row>
    <row r="115">
      <c r="A115" s="4" t="inlineStr"/>
      <c r="B115" s="5">
        <f>HYPERLINK("https://www.avito.ru/leningradskaya_oblast_sosnovyy_bor/uslugi/priem_loma_tsvetnyh_metallov_8023041146","Прием лома цветных металлов")</f>
        <v/>
      </c>
      <c r="C115" s="6" t="inlineStr">
        <is>
          <t>Ленинградская область</t>
        </is>
      </c>
      <c r="D115" s="6" t="inlineStr">
        <is>
          <t>Сосновый Бор</t>
        </is>
      </c>
      <c r="E115" s="7" t="inlineStr">
        <is>
          <t>Сосновый Бор, Ракопежское ш., 32</t>
        </is>
      </c>
      <c r="F115" s="6" t="inlineStr"/>
      <c r="G115" s="6" t="inlineStr"/>
      <c r="H115" s="8">
        <f>HYPERLINK("https://www.avito.ru/leningradskaya_oblast_sosnovyy_bor/uslugi/priem_loma_tsvetnyh_metallov_8023041146","8023041146")</f>
        <v/>
      </c>
    </row>
    <row r="116">
      <c r="A116" s="4" t="inlineStr"/>
      <c r="B116" s="5">
        <f>HYPERLINK("https://www.avito.ru/tihvin/uslugi/priem_metalloloma_priem_chernogo_loma_8023213321","Прием металлолома / Прием черного лома")</f>
        <v/>
      </c>
      <c r="C116" s="6" t="inlineStr">
        <is>
          <t>Ленинградская область</t>
        </is>
      </c>
      <c r="D116" s="6" t="inlineStr">
        <is>
          <t>Тихвин</t>
        </is>
      </c>
      <c r="E116" s="7" t="inlineStr">
        <is>
          <t>Тихвин, Право-Вологодский тупик, 9</t>
        </is>
      </c>
      <c r="F116" s="6" t="inlineStr"/>
      <c r="G116" s="6" t="inlineStr"/>
      <c r="H116" s="8">
        <f>HYPERLINK("https://www.avito.ru/tihvin/uslugi/priem_metalloloma_priem_chernogo_loma_8023213321","8023213321")</f>
        <v/>
      </c>
    </row>
    <row r="117">
      <c r="A117" s="4" t="inlineStr"/>
      <c r="B117" s="5">
        <f>HYPERLINK("https://www.avito.ru/sankt-peterburg/uslugi/priem_i_vyvoz_metalloloma_sdat_lom_8023243630","Прием и вывоз металлолома / Сдать лом")</f>
        <v/>
      </c>
      <c r="C117" s="6" t="inlineStr"/>
      <c r="D117" s="6" t="inlineStr">
        <is>
          <t>Санкт-Петербург</t>
        </is>
      </c>
      <c r="E117" s="7" t="inlineStr">
        <is>
          <t>Санкт-Петербург, Коломяжский пр-т, 24</t>
        </is>
      </c>
      <c r="F117" s="6" t="inlineStr"/>
      <c r="G117" s="6" t="inlineStr"/>
      <c r="H117" s="8">
        <f>HYPERLINK("https://www.avito.ru/sankt-peterburg/uslugi/priem_i_vyvoz_metalloloma_sdat_lom_8023243630","8023243630")</f>
        <v/>
      </c>
    </row>
    <row r="118">
      <c r="A118" s="4" t="inlineStr"/>
      <c r="B118" s="5">
        <f>HYPERLINK("https://www.avito.ru/sheksna/uslugi/priem_metalloloma_priem_chernogo_loma_8023257222","Прием металлолома / Прием черного лома")</f>
        <v/>
      </c>
      <c r="C118" s="6" t="inlineStr">
        <is>
          <t>Вологодская область</t>
        </is>
      </c>
      <c r="D118" s="6" t="inlineStr">
        <is>
          <t>Шексна</t>
        </is>
      </c>
      <c r="E118" s="7" t="inlineStr">
        <is>
          <t>рп. Шексна, ДОЗ ул.</t>
        </is>
      </c>
      <c r="F118" s="6" t="inlineStr"/>
      <c r="G118" s="6" t="inlineStr"/>
      <c r="H118" s="8">
        <f>HYPERLINK("https://www.avito.ru/sheksna/uslugi/priem_metalloloma_priem_chernogo_loma_8023257222","8023257222")</f>
        <v/>
      </c>
    </row>
    <row r="119">
      <c r="A119" s="4" t="inlineStr"/>
      <c r="B119" s="5">
        <f>HYPERLINK("https://www.avito.ru/sankt-peterburg/uslugi/priem_metalloloma_priem_chernogo_loma_opt_8023271188","Прием металлолома / Прием черного лома опт")</f>
        <v/>
      </c>
      <c r="C119" s="6" t="inlineStr"/>
      <c r="D119" s="6" t="inlineStr">
        <is>
          <t>Санкт-Петербург</t>
        </is>
      </c>
      <c r="E119" s="7" t="inlineStr">
        <is>
          <t>Санкт-Петербург, ул. Смолячкова, 21</t>
        </is>
      </c>
      <c r="F119" s="6" t="inlineStr"/>
      <c r="G119" s="6" t="inlineStr"/>
      <c r="H119" s="8">
        <f>HYPERLINK("https://www.avito.ru/sankt-peterburg/uslugi/priem_metalloloma_priem_chernogo_loma_opt_8023271188","8023271188")</f>
        <v/>
      </c>
    </row>
    <row r="120">
      <c r="A120" s="4" t="inlineStr"/>
      <c r="B120" s="5">
        <f>HYPERLINK("https://www.avito.ru/kirishi/uslugi/priem_metalloloma_priem_chernogo_loma_8023275447","Прием металлолома / Прием черного лома")</f>
        <v/>
      </c>
      <c r="C120" s="6" t="inlineStr">
        <is>
          <t>Ленинградская область</t>
        </is>
      </c>
      <c r="D120" s="6" t="inlineStr">
        <is>
          <t>Кириши</t>
        </is>
      </c>
      <c r="E120" s="7" t="inlineStr">
        <is>
          <t>Кириши, ш. Энтузиастов, 6А</t>
        </is>
      </c>
      <c r="F120" s="6" t="inlineStr"/>
      <c r="G120" s="6" t="inlineStr"/>
      <c r="H120" s="8">
        <f>HYPERLINK("https://www.avito.ru/kirishi/uslugi/priem_metalloloma_priem_chernogo_loma_8023275447","8023275447")</f>
        <v/>
      </c>
    </row>
    <row r="121">
      <c r="A121" s="4" t="inlineStr"/>
      <c r="B121" s="5">
        <f>HYPERLINK("https://www.avito.ru/malaya_vishera/uslugi/priem_metalloloma_priem_chernogo_loma_opt_8023372446","Прием металлолома / Прием черного лома опт")</f>
        <v/>
      </c>
      <c r="C121" s="6" t="inlineStr">
        <is>
          <t>Новгородская область</t>
        </is>
      </c>
      <c r="D121" s="6" t="inlineStr">
        <is>
          <t>Малая Вишера</t>
        </is>
      </c>
      <c r="E121" s="7" t="inlineStr">
        <is>
          <t>Малая Вишера</t>
        </is>
      </c>
      <c r="F121" s="6" t="inlineStr"/>
      <c r="G121" s="6" t="inlineStr"/>
      <c r="H121" s="8">
        <f>HYPERLINK("https://www.avito.ru/malaya_vishera/uslugi/priem_metalloloma_priem_chernogo_loma_opt_8023372446","8023372446")</f>
        <v/>
      </c>
    </row>
    <row r="122">
      <c r="A122" s="4" t="inlineStr"/>
      <c r="B122" s="5">
        <f>HYPERLINK("https://www.avito.ru/severodvinsk/uslugi/priem_metalloloma_skupka_metalla_8023409596","Прием металлолома / Скупка металла")</f>
        <v/>
      </c>
      <c r="C122" s="6" t="inlineStr">
        <is>
          <t>Архангельская область</t>
        </is>
      </c>
      <c r="D122" s="6" t="inlineStr">
        <is>
          <t>Северодвинск</t>
        </is>
      </c>
      <c r="E122" s="7" t="inlineStr">
        <is>
          <t>Северодвинск, Ягринское ш., 2А</t>
        </is>
      </c>
      <c r="F122" s="6" t="inlineStr"/>
      <c r="G122" s="6" t="inlineStr"/>
      <c r="H122" s="8">
        <f>HYPERLINK("https://www.avito.ru/severodvinsk/uslugi/priem_metalloloma_skupka_metalla_8023409596","8023409596")</f>
        <v/>
      </c>
    </row>
    <row r="123">
      <c r="A123" s="4" t="inlineStr"/>
      <c r="B123" s="5">
        <f>HYPERLINK("https://www.avito.ru/sankt-peterburg/uslugi/priem_tsvetnogo_metalloloma_8023512713","Прием цветного металлолома")</f>
        <v/>
      </c>
      <c r="C123" s="6" t="inlineStr"/>
      <c r="D123" s="6" t="inlineStr">
        <is>
          <t>Санкт-Петербург</t>
        </is>
      </c>
      <c r="E123" s="7" t="inlineStr">
        <is>
          <t>Санкт-Петербург, б-р Новаторов, 73к4А</t>
        </is>
      </c>
      <c r="F123" s="6" t="inlineStr"/>
      <c r="G123" s="6" t="inlineStr"/>
      <c r="H123" s="8">
        <f>HYPERLINK("https://www.avito.ru/sankt-peterburg/uslugi/priem_tsvetnogo_metalloloma_8023512713","8023512713")</f>
        <v/>
      </c>
    </row>
    <row r="124">
      <c r="A124" s="4" t="inlineStr"/>
      <c r="B124" s="5">
        <f>HYPERLINK("https://www.avito.ru/sankt-peterburg/uslugi/priem_metalla_sdat_lom_vyvoz_loma_8023519224","Приём металла /Сдать лом / Вывоз лома")</f>
        <v/>
      </c>
      <c r="C124" s="6" t="inlineStr"/>
      <c r="D124" s="6" t="inlineStr">
        <is>
          <t>Санкт-Петербург</t>
        </is>
      </c>
      <c r="E124" s="7" t="inlineStr">
        <is>
          <t>Санкт-Петербург, Московская пл.</t>
        </is>
      </c>
      <c r="F124" s="6" t="inlineStr"/>
      <c r="G124" s="6" t="inlineStr"/>
      <c r="H124" s="8">
        <f>HYPERLINK("https://www.avito.ru/sankt-peterburg/uslugi/priem_metalla_sdat_lom_vyvoz_loma_8023519224","8023519224")</f>
        <v/>
      </c>
    </row>
    <row r="125">
      <c r="A125" s="4" t="inlineStr"/>
      <c r="B125" s="5">
        <f>HYPERLINK("https://www.avito.ru/sankt-peterburg/uslugi/priem_metalloloma_priem_tsvetnogo_loma_8023615403","Прием металлолома / Прием цветного лома")</f>
        <v/>
      </c>
      <c r="C125" s="6" t="inlineStr"/>
      <c r="D125" s="6" t="inlineStr">
        <is>
          <t>Санкт-Петербург</t>
        </is>
      </c>
      <c r="E125" s="7" t="inlineStr">
        <is>
          <t>Санкт-Петербург, ул. Савушкина, 2</t>
        </is>
      </c>
      <c r="F125" s="6" t="inlineStr"/>
      <c r="G125" s="6" t="inlineStr"/>
      <c r="H125" s="8">
        <f>HYPERLINK("https://www.avito.ru/sankt-peterburg/uslugi/priem_metalloloma_priem_tsvetnogo_loma_8023615403","8023615403")</f>
        <v/>
      </c>
    </row>
    <row r="126">
      <c r="A126" s="4" t="inlineStr"/>
      <c r="B126" s="5">
        <f>HYPERLINK("https://www.avito.ru/sankt-peterburg/uslugi/priem_loma_priem_tsvetnogo_loma_priem_chermeta_8023687533","Прием лома / Прием цветного лома / Прием чермета")</f>
        <v/>
      </c>
      <c r="C126" s="6" t="inlineStr"/>
      <c r="D126" s="6" t="inlineStr">
        <is>
          <t>Санкт-Петербург</t>
        </is>
      </c>
      <c r="E126" s="7" t="inlineStr">
        <is>
          <t>Санкт-Петербург, Гражданский пр-т, 116к1</t>
        </is>
      </c>
      <c r="F126" s="6" t="inlineStr"/>
      <c r="G126" s="6" t="inlineStr"/>
      <c r="H126" s="8">
        <f>HYPERLINK("https://www.avito.ru/sankt-peterburg/uslugi/priem_loma_priem_tsvetnogo_loma_priem_chermeta_8023687533","8023687533")</f>
        <v/>
      </c>
    </row>
    <row r="127">
      <c r="A127" s="4" t="inlineStr"/>
      <c r="B127" s="5">
        <f>HYPERLINK("https://www.avito.ru/tajtsy/uslugi/priem_tsvetnogo_metalloloma_8023888615","Прием цветного металлолома")</f>
        <v/>
      </c>
      <c r="C127" s="6" t="inlineStr">
        <is>
          <t>Ленинградская область</t>
        </is>
      </c>
      <c r="D127" s="6" t="inlineStr">
        <is>
          <t>Тайцы</t>
        </is>
      </c>
      <c r="E127" s="7" t="inlineStr">
        <is>
          <t>городской пос. Тайцы, Советская ул.</t>
        </is>
      </c>
      <c r="F127" s="6" t="inlineStr"/>
      <c r="G127" s="6" t="inlineStr"/>
      <c r="H127" s="8">
        <f>HYPERLINK("https://www.avito.ru/tajtsy/uslugi/priem_tsvetnogo_metalloloma_8023888615","8023888615")</f>
        <v/>
      </c>
    </row>
    <row r="128">
      <c r="A128" s="4" t="inlineStr"/>
      <c r="B128" s="5">
        <f>HYPERLINK("https://www.avito.ru/tosno/uslugi/priem_loma_tsvetnyh_metallov_8023060955","Прием лома цветных металлов")</f>
        <v/>
      </c>
      <c r="C128" s="6" t="inlineStr">
        <is>
          <t>Ленинградская область</t>
        </is>
      </c>
      <c r="D128" s="6" t="inlineStr">
        <is>
          <t>Тосно</t>
        </is>
      </c>
      <c r="E128" s="7" t="inlineStr">
        <is>
          <t>Тосно, Октябрьская ул., 125Л</t>
        </is>
      </c>
      <c r="F128" s="6" t="inlineStr"/>
      <c r="G128" s="6" t="inlineStr"/>
      <c r="H128" s="8">
        <f>HYPERLINK("https://www.avito.ru/tosno/uslugi/priem_loma_tsvetnyh_metallov_8023060955","8023060955")</f>
        <v/>
      </c>
    </row>
    <row r="129">
      <c r="A129" s="4" t="inlineStr"/>
      <c r="B129" s="5">
        <f>HYPERLINK("https://www.avito.ru/cherepovets/uslugi/priem_metalloloma_priem_chernogo_loma_8023078274","Прием металлолома / Прием черного лома")</f>
        <v/>
      </c>
      <c r="C129" s="6" t="inlineStr">
        <is>
          <t>Вологодская область</t>
        </is>
      </c>
      <c r="D129" s="6" t="inlineStr">
        <is>
          <t>Череповец</t>
        </is>
      </c>
      <c r="E129" s="7" t="inlineStr">
        <is>
          <t>Череповец, Северное ш., 71А</t>
        </is>
      </c>
      <c r="F129" s="6" t="inlineStr"/>
      <c r="G129" s="6" t="inlineStr"/>
      <c r="H129" s="8">
        <f>HYPERLINK("https://www.avito.ru/cherepovets/uslugi/priem_metalloloma_priem_chernogo_loma_8023078274","8023078274")</f>
        <v/>
      </c>
    </row>
    <row r="130">
      <c r="A130" s="4" t="inlineStr"/>
      <c r="B130" s="5">
        <f>HYPERLINK("https://www.avito.ru/sankt-peterburg/uslugi/priem_metalloloma_vyvoz_metalloloma_8023100844","Прием металлолома/ Вывоз металлолома")</f>
        <v/>
      </c>
      <c r="C130" s="6" t="inlineStr"/>
      <c r="D130" s="6" t="inlineStr">
        <is>
          <t>Санкт-Петербург</t>
        </is>
      </c>
      <c r="E130" s="7" t="inlineStr">
        <is>
          <t>Санкт-Петербург, Дворцовая пл.</t>
        </is>
      </c>
      <c r="F130" s="6" t="inlineStr"/>
      <c r="G130" s="6" t="inlineStr"/>
      <c r="H130" s="8">
        <f>HYPERLINK("https://www.avito.ru/sankt-peterburg/uslugi/priem_metalloloma_vyvoz_metalloloma_8023100844","8023100844")</f>
        <v/>
      </c>
    </row>
    <row r="131">
      <c r="A131" s="4" t="inlineStr"/>
      <c r="B131" s="5">
        <f>HYPERLINK("https://www.avito.ru/vologodskaya_oblast_sokol/uslugi/priem_metalloloma_priem_loma_demontazh_8023153024","Прием металлолома / Прием лома / Демонтаж")</f>
        <v/>
      </c>
      <c r="C131" s="6" t="inlineStr">
        <is>
          <t>Вологодская область</t>
        </is>
      </c>
      <c r="D131" s="6" t="inlineStr">
        <is>
          <t>Сокол</t>
        </is>
      </c>
      <c r="E131" s="7" t="inlineStr">
        <is>
          <t>Сокол, Советская ул., 122Б</t>
        </is>
      </c>
      <c r="F131" s="6" t="inlineStr"/>
      <c r="G131" s="6" t="inlineStr"/>
      <c r="H131" s="8">
        <f>HYPERLINK("https://www.avito.ru/vologodskaya_oblast_sokol/uslugi/priem_metalloloma_priem_loma_demontazh_8023153024","8023153024")</f>
        <v/>
      </c>
    </row>
    <row r="132">
      <c r="A132" s="4" t="inlineStr"/>
      <c r="B132" s="5">
        <f>HYPERLINK("https://www.avito.ru/boksitogorsk/uslugi/priem_metalloloma_priem_chernogo_loma_opt_8023209808","Прием металлолома / Прием черного лома опт")</f>
        <v/>
      </c>
      <c r="C132" s="6" t="inlineStr">
        <is>
          <t>Ленинградская область</t>
        </is>
      </c>
      <c r="D132" s="6" t="inlineStr">
        <is>
          <t>Бокситогорск</t>
        </is>
      </c>
      <c r="E132" s="7" t="inlineStr">
        <is>
          <t>Бокситогорск, Дымское ш., 1</t>
        </is>
      </c>
      <c r="F132" s="6" t="inlineStr"/>
      <c r="G132" s="6" t="inlineStr"/>
      <c r="H132" s="8">
        <f>HYPERLINK("https://www.avito.ru/boksitogorsk/uslugi/priem_metalloloma_priem_chernogo_loma_opt_8023209808","8023209808")</f>
        <v/>
      </c>
    </row>
    <row r="133">
      <c r="A133" s="4" t="inlineStr"/>
      <c r="B133" s="5">
        <f>HYPERLINK("https://www.avito.ru/lodeynoe_pole/uslugi/priem_metalloloma_demontazh_priem_metalla_8023243319","Прием металлолома / Демонтаж / Прием металла")</f>
        <v/>
      </c>
      <c r="C133" s="6" t="inlineStr">
        <is>
          <t>Ленинградская область</t>
        </is>
      </c>
      <c r="D133" s="6" t="inlineStr">
        <is>
          <t>Лодейное Поле</t>
        </is>
      </c>
      <c r="E133" s="7" t="inlineStr">
        <is>
          <t>Лодейное Поле</t>
        </is>
      </c>
      <c r="F133" s="6" t="inlineStr"/>
      <c r="G133" s="6" t="inlineStr"/>
      <c r="H133" s="8">
        <f>HYPERLINK("https://www.avito.ru/lodeynoe_pole/uslugi/priem_metalloloma_demontazh_priem_metalla_8023243319","8023243319")</f>
        <v/>
      </c>
    </row>
    <row r="134">
      <c r="A134" s="4" t="inlineStr"/>
      <c r="B134" s="5">
        <f>HYPERLINK("https://www.avito.ru/arhangelsk/uslugi/priem_metalloloma_skupka_metalla_8023306741","Прием металлолома / Скупка металла")</f>
        <v/>
      </c>
      <c r="C134" s="6" t="inlineStr">
        <is>
          <t>Архангельская область</t>
        </is>
      </c>
      <c r="D134" s="6" t="inlineStr">
        <is>
          <t>Архангельск</t>
        </is>
      </c>
      <c r="E134" s="7" t="inlineStr">
        <is>
          <t>Архангельск, ул. Октябрят, 27к3</t>
        </is>
      </c>
      <c r="F134" s="6" t="inlineStr"/>
      <c r="G134" s="6" t="inlineStr"/>
      <c r="H134" s="8">
        <f>HYPERLINK("https://www.avito.ru/arhangelsk/uslugi/priem_metalloloma_skupka_metalla_8023306741","8023306741")</f>
        <v/>
      </c>
    </row>
    <row r="135">
      <c r="A135" s="4" t="inlineStr"/>
      <c r="B135" s="5">
        <f>HYPERLINK("https://www.avito.ru/novaya_ladoga/uslugi/priem_tsvetnogo_metalloloma_8023328850","Прием цветного металлолома")</f>
        <v/>
      </c>
      <c r="C135" s="6" t="inlineStr">
        <is>
          <t>Ленинградская область</t>
        </is>
      </c>
      <c r="D135" s="6" t="inlineStr">
        <is>
          <t>Новая Ладога</t>
        </is>
      </c>
      <c r="E135" s="7" t="inlineStr">
        <is>
          <t>Новая Ладога, ул. Суворова, 53</t>
        </is>
      </c>
      <c r="F135" s="6" t="inlineStr"/>
      <c r="G135" s="6" t="inlineStr"/>
      <c r="H135" s="8">
        <f>HYPERLINK("https://www.avito.ru/novaya_ladoga/uslugi/priem_tsvetnogo_metalloloma_8023328850","8023328850")</f>
        <v/>
      </c>
    </row>
    <row r="136">
      <c r="A136" s="4" t="inlineStr"/>
      <c r="B136" s="5">
        <f>HYPERLINK("https://www.avito.ru/leningradskaya_oblast_kirovsk/uslugi/priem_i_vyvoz_metalloloma_samovyvoz_loma_8023421453","Прием и вывоз металлолома / Самовывоз лома")</f>
        <v/>
      </c>
      <c r="C136" s="6" t="inlineStr">
        <is>
          <t>Ленинградская область</t>
        </is>
      </c>
      <c r="D136" s="6" t="inlineStr">
        <is>
          <t>Кировск</t>
        </is>
      </c>
      <c r="E136" s="7" t="inlineStr">
        <is>
          <t>Кировск, Северная ул., 1В</t>
        </is>
      </c>
      <c r="F136" s="6" t="inlineStr"/>
      <c r="G136" s="6" t="inlineStr"/>
      <c r="H136" s="8">
        <f>HYPERLINK("https://www.avito.ru/leningradskaya_oblast_kirovsk/uslugi/priem_i_vyvoz_metalloloma_samovyvoz_loma_8023421453","8023421453")</f>
        <v/>
      </c>
    </row>
    <row r="137">
      <c r="A137" s="4" t="inlineStr"/>
      <c r="B137" s="5">
        <f>HYPERLINK("https://www.avito.ru/vytegra/uslugi/priem_tsvetnogo_metalloloma_8023422459","Прием цветного металлолома")</f>
        <v/>
      </c>
      <c r="C137" s="6" t="inlineStr">
        <is>
          <t>Вологодская область</t>
        </is>
      </c>
      <c r="D137" s="6" t="inlineStr">
        <is>
          <t>Вытегра</t>
        </is>
      </c>
      <c r="E137" s="7" t="inlineStr">
        <is>
          <t>Вытегра, Вологодская ул., 1</t>
        </is>
      </c>
      <c r="F137" s="6" t="inlineStr"/>
      <c r="G137" s="6" t="inlineStr"/>
      <c r="H137" s="8">
        <f>HYPERLINK("https://www.avito.ru/vytegra/uslugi/priem_tsvetnogo_metalloloma_8023422459","8023422459")</f>
        <v/>
      </c>
    </row>
    <row r="138">
      <c r="A138" s="4" t="inlineStr"/>
      <c r="B138" s="5">
        <f>HYPERLINK("https://www.avito.ru/sankt-peterburg/uslugi/priem_metalloloma_demontazh_priem_metalla_8023461594","Прием металлолома / Демонтаж / Прием металла")</f>
        <v/>
      </c>
      <c r="C138" s="6" t="inlineStr"/>
      <c r="D138" s="6" t="inlineStr">
        <is>
          <t>Санкт-Петербург</t>
        </is>
      </c>
      <c r="E138" s="7" t="inlineStr">
        <is>
          <t>Санкт-Петербург, Коломяжский пр-т, 24</t>
        </is>
      </c>
      <c r="F138" s="6" t="inlineStr"/>
      <c r="G138" s="6" t="inlineStr"/>
      <c r="H138" s="8">
        <f>HYPERLINK("https://www.avito.ru/sankt-peterburg/uslugi/priem_metalloloma_demontazh_priem_metalla_8023461594","8023461594")</f>
        <v/>
      </c>
    </row>
    <row r="139">
      <c r="A139" s="4" t="inlineStr"/>
      <c r="B139" s="5">
        <f>HYPERLINK("https://www.avito.ru/kingisepp/uslugi/priem_i_vyvoz_metalloloma_sdat_lom_8023603032","Прием и вывоз металлолома / Сдать лом")</f>
        <v/>
      </c>
      <c r="C139" s="6" t="inlineStr">
        <is>
          <t>Ленинградская область</t>
        </is>
      </c>
      <c r="D139" s="6" t="inlineStr">
        <is>
          <t>Кингисепп</t>
        </is>
      </c>
      <c r="E139" s="7" t="inlineStr">
        <is>
          <t>Кингисепп, ул. Дорожников, 35</t>
        </is>
      </c>
      <c r="F139" s="6" t="inlineStr"/>
      <c r="G139" s="6" t="inlineStr"/>
      <c r="H139" s="8">
        <f>HYPERLINK("https://www.avito.ru/kingisepp/uslugi/priem_i_vyvoz_metalloloma_sdat_lom_8023603032","8023603032")</f>
        <v/>
      </c>
    </row>
    <row r="140">
      <c r="A140" s="4" t="inlineStr"/>
      <c r="B140" s="5">
        <f>HYPERLINK("https://www.avito.ru/gatchina/uslugi/priem_metalloloma_priem_tsvetnogo_loma_8023656259","Прием металлолома / Прием цветного лома")</f>
        <v/>
      </c>
      <c r="C140" s="6" t="inlineStr">
        <is>
          <t>Ленинградская область</t>
        </is>
      </c>
      <c r="D140" s="6" t="inlineStr">
        <is>
          <t>Гатчина</t>
        </is>
      </c>
      <c r="E140" s="7" t="inlineStr">
        <is>
          <t>Гатчина, ул. Старая Дорога, 2</t>
        </is>
      </c>
      <c r="F140" s="6" t="inlineStr"/>
      <c r="G140" s="6" t="inlineStr"/>
      <c r="H140" s="8">
        <f>HYPERLINK("https://www.avito.ru/gatchina/uslugi/priem_metalloloma_priem_tsvetnogo_loma_8023656259","8023656259")</f>
        <v/>
      </c>
    </row>
    <row r="141">
      <c r="A141" s="4" t="inlineStr"/>
      <c r="B141" s="5">
        <f>HYPERLINK("https://www.avito.ru/sankt-peterburg/uslugi/priem_i_vyvoz_metalloloma_samovyvoz_loma_8023662399","Прием и вывоз металлолома / Самовывоз лома")</f>
        <v/>
      </c>
      <c r="C141" s="6" t="inlineStr"/>
      <c r="D141" s="6" t="inlineStr">
        <is>
          <t>Санкт-Петербург</t>
        </is>
      </c>
      <c r="E141" s="7" t="inlineStr">
        <is>
          <t>Санкт-Петербург, пр-т Энгельса, 162Р</t>
        </is>
      </c>
      <c r="F141" s="6" t="inlineStr"/>
      <c r="G141" s="6" t="inlineStr"/>
      <c r="H141" s="8">
        <f>HYPERLINK("https://www.avito.ru/sankt-peterburg/uslugi/priem_i_vyvoz_metalloloma_samovyvoz_loma_8023662399","8023662399")</f>
        <v/>
      </c>
    </row>
    <row r="142">
      <c r="A142" s="4" t="inlineStr"/>
      <c r="B142" s="5">
        <f>HYPERLINK("https://www.avito.ru/sankt-peterburg/uslugi/priem_loma_tsvetnyh_metallov_8023695145","Прием лома цветных металлов")</f>
        <v/>
      </c>
      <c r="C142" s="6" t="inlineStr"/>
      <c r="D142" s="6" t="inlineStr">
        <is>
          <t>Санкт-Петербург</t>
        </is>
      </c>
      <c r="E142" s="7" t="inlineStr">
        <is>
          <t>Санкт-Петербург, пр-т Энгельса, 162Р</t>
        </is>
      </c>
      <c r="F142" s="6" t="inlineStr"/>
      <c r="G142" s="6" t="inlineStr"/>
      <c r="H142" s="8">
        <f>HYPERLINK("https://www.avito.ru/sankt-peterburg/uslugi/priem_loma_tsvetnyh_metallov_8023695145","8023695145")</f>
        <v/>
      </c>
    </row>
    <row r="143">
      <c r="A143" s="4" t="inlineStr"/>
      <c r="B143" s="5">
        <f>HYPERLINK("https://www.avito.ru/chudovo/uslugi/priem_metalloloma_priem_loma_demontazh_8023711605","Прием металлолома / Прием лома / Демонтаж")</f>
        <v/>
      </c>
      <c r="C143" s="6" t="inlineStr">
        <is>
          <t>Новгородская область</t>
        </is>
      </c>
      <c r="D143" s="6" t="inlineStr">
        <is>
          <t>Чудово</t>
        </is>
      </c>
      <c r="E143" s="7" t="inlineStr">
        <is>
          <t>Чудово, ул. Губина, 1В</t>
        </is>
      </c>
      <c r="F143" s="6" t="inlineStr"/>
      <c r="G143" s="6" t="inlineStr"/>
      <c r="H143" s="8">
        <f>HYPERLINK("https://www.avito.ru/chudovo/uslugi/priem_metalloloma_priem_loma_demontazh_8023711605","8023711605")</f>
        <v/>
      </c>
    </row>
    <row r="144">
      <c r="A144" s="4" t="inlineStr"/>
      <c r="B144" s="5">
        <f>HYPERLINK("https://www.avito.ru/volosovo/uslugi/priem_loma_tsvetnyh_metallov_8023799696","Прием лома цветных металлов")</f>
        <v/>
      </c>
      <c r="C144" s="6" t="inlineStr">
        <is>
          <t>Ленинградская область</t>
        </is>
      </c>
      <c r="D144" s="6" t="inlineStr">
        <is>
          <t>Волосово</t>
        </is>
      </c>
      <c r="E144" s="7" t="inlineStr">
        <is>
          <t>Волосово, ул. Восстания, 6</t>
        </is>
      </c>
      <c r="F144" s="6" t="inlineStr"/>
      <c r="G144" s="6" t="inlineStr"/>
      <c r="H144" s="8">
        <f>HYPERLINK("https://www.avito.ru/volosovo/uslugi/priem_loma_tsvetnyh_metallov_8023799696","8023799696")</f>
        <v/>
      </c>
    </row>
    <row r="145">
      <c r="A145" s="4" t="inlineStr"/>
      <c r="B145" s="5">
        <f>HYPERLINK("https://www.avito.ru/sankt-peterburg/uslugi/priem_metalloloma_demontazh_priem_metalla_8023841554","Прием металлолома / Демонтаж / Прием металла")</f>
        <v/>
      </c>
      <c r="C145" s="6" t="inlineStr"/>
      <c r="D145" s="6" t="inlineStr">
        <is>
          <t>Санкт-Петербург</t>
        </is>
      </c>
      <c r="E145" s="7" t="inlineStr">
        <is>
          <t>Санкт-Петербург, Центральный район, Кирпичный пер., 1</t>
        </is>
      </c>
      <c r="F145" s="6" t="inlineStr"/>
      <c r="G145" s="6" t="inlineStr"/>
      <c r="H145" s="8">
        <f>HYPERLINK("https://www.avito.ru/sankt-peterburg/uslugi/priem_metalloloma_demontazh_priem_metalla_8023841554","8023841554")</f>
        <v/>
      </c>
    </row>
    <row r="146">
      <c r="A146" s="4" t="inlineStr"/>
      <c r="B146" s="5">
        <f>HYPERLINK("https://www.avito.ru/arhangelsk/uslugi/priem_i_vyvoz_metalloloma_priem_redkih_metallov_8022908659","Прием и вывоз металлолома / Прием редких металлов")</f>
        <v/>
      </c>
      <c r="C146" s="6" t="inlineStr">
        <is>
          <t>Архангельская область</t>
        </is>
      </c>
      <c r="D146" s="6" t="inlineStr">
        <is>
          <t>Архангельск</t>
        </is>
      </c>
      <c r="E146" s="7" t="inlineStr">
        <is>
          <t>Архангельск, ул. Октябрят, 27к3</t>
        </is>
      </c>
      <c r="F146" s="6" t="inlineStr"/>
      <c r="G146" s="6" t="inlineStr"/>
      <c r="H146" s="8">
        <f>HYPERLINK("https://www.avito.ru/arhangelsk/uslugi/priem_i_vyvoz_metalloloma_priem_redkih_metallov_8022908659","8022908659")</f>
        <v/>
      </c>
    </row>
    <row r="147">
      <c r="A147" s="4" t="inlineStr"/>
      <c r="B147" s="5">
        <f>HYPERLINK("https://www.avito.ru/lodeynoe_pole/uslugi/priem_metalloloma_priem_chernogo_loma_opt_8022932967","Прием металлолома / Прием черного лома опт")</f>
        <v/>
      </c>
      <c r="C147" s="6" t="inlineStr">
        <is>
          <t>Ленинградская область</t>
        </is>
      </c>
      <c r="D147" s="6" t="inlineStr">
        <is>
          <t>Лодейное Поле</t>
        </is>
      </c>
      <c r="E147" s="7" t="inlineStr">
        <is>
          <t>Лодейное Поле</t>
        </is>
      </c>
      <c r="F147" s="6" t="inlineStr"/>
      <c r="G147" s="6" t="inlineStr"/>
      <c r="H147" s="8">
        <f>HYPERLINK("https://www.avito.ru/lodeynoe_pole/uslugi/priem_metalloloma_priem_chernogo_loma_opt_8022932967","8022932967")</f>
        <v/>
      </c>
    </row>
    <row r="148">
      <c r="A148" s="4" t="inlineStr"/>
      <c r="B148" s="5">
        <f>HYPERLINK("https://www.avito.ru/sankt-peterburg/uslugi/priem_i_vyvoz_metalloloma_priem_metalla_8023097848","Прием и вывоз металлолома / Прием металла")</f>
        <v/>
      </c>
      <c r="C148" s="6" t="inlineStr"/>
      <c r="D148" s="6" t="inlineStr">
        <is>
          <t>Санкт-Петербург</t>
        </is>
      </c>
      <c r="E148" s="7" t="inlineStr">
        <is>
          <t>Санкт-Петербург, Коломяжский пр-т, 24</t>
        </is>
      </c>
      <c r="F148" s="6" t="inlineStr"/>
      <c r="G148" s="6" t="inlineStr"/>
      <c r="H148" s="8">
        <f>HYPERLINK("https://www.avito.ru/sankt-peterburg/uslugi/priem_i_vyvoz_metalloloma_priem_metalla_8023097848","8023097848")</f>
        <v/>
      </c>
    </row>
    <row r="149">
      <c r="A149" s="4" t="inlineStr"/>
      <c r="B149" s="5">
        <f>HYPERLINK("https://www.avito.ru/tosno/uslugi/priem_metalloloma_demontazh_vyvoz_metalla_8023129056","Прием металлолома / Демонтаж / Вывоз металла")</f>
        <v/>
      </c>
      <c r="C149" s="6" t="inlineStr">
        <is>
          <t>Ленинградская область</t>
        </is>
      </c>
      <c r="D149" s="6" t="inlineStr">
        <is>
          <t>Тосно</t>
        </is>
      </c>
      <c r="E149" s="7" t="inlineStr">
        <is>
          <t>Тосно, Октябрьская ул., 125Л</t>
        </is>
      </c>
      <c r="F149" s="6" t="inlineStr"/>
      <c r="G149" s="6" t="inlineStr"/>
      <c r="H149" s="8">
        <f>HYPERLINK("https://www.avito.ru/tosno/uslugi/priem_metalloloma_demontazh_vyvoz_metalla_8023129056","8023129056")</f>
        <v/>
      </c>
    </row>
    <row r="150">
      <c r="A150" s="4" t="inlineStr"/>
      <c r="B150" s="5">
        <f>HYPERLINK("https://www.avito.ru/sankt-peterburg/uslugi/priem_i_vyvoz_metalloloma_sdat_lom_8023129609","Прием и вывоз металлолома / Сдать лом")</f>
        <v/>
      </c>
      <c r="C150" s="6" t="inlineStr"/>
      <c r="D150" s="6" t="inlineStr">
        <is>
          <t>Санкт-Петербург</t>
        </is>
      </c>
      <c r="E150" s="7" t="inlineStr">
        <is>
          <t>Санкт-Петербург, б-р Новаторов, 73к4А</t>
        </is>
      </c>
      <c r="F150" s="6" t="inlineStr"/>
      <c r="G150" s="6" t="inlineStr"/>
      <c r="H150" s="8">
        <f>HYPERLINK("https://www.avito.ru/sankt-peterburg/uslugi/priem_i_vyvoz_metalloloma_sdat_lom_8023129609","8023129609")</f>
        <v/>
      </c>
    </row>
    <row r="151">
      <c r="A151" s="4" t="inlineStr"/>
      <c r="B151" s="5">
        <f>HYPERLINK("https://www.avito.ru/sankt-peterburg/uslugi/priem_loma_priem_tsvetnogo_loma_priem_chermeta_8023171610","Прием лома / Прием цветного лома / Прием чермета")</f>
        <v/>
      </c>
      <c r="C151" s="6" t="inlineStr"/>
      <c r="D151" s="6" t="inlineStr">
        <is>
          <t>Санкт-Петербург</t>
        </is>
      </c>
      <c r="E151" s="7" t="inlineStr">
        <is>
          <t>Санкт-Петербург, пл. Стачек</t>
        </is>
      </c>
      <c r="F151" s="6" t="inlineStr"/>
      <c r="G151" s="6" t="inlineStr"/>
      <c r="H151" s="8">
        <f>HYPERLINK("https://www.avito.ru/sankt-peterburg/uslugi/priem_loma_priem_tsvetnogo_loma_priem_chermeta_8023171610","8023171610")</f>
        <v/>
      </c>
    </row>
    <row r="152">
      <c r="A152" s="4" t="inlineStr"/>
      <c r="B152" s="5">
        <f>HYPERLINK("https://www.avito.ru/kudrovo/uslugi/priem_metalloloma_priem_tsvetnogo_loma_8023233430","Прием металлолома / Прием цветного лома")</f>
        <v/>
      </c>
      <c r="C152" s="6" t="inlineStr">
        <is>
          <t>Ленинградская область</t>
        </is>
      </c>
      <c r="D152" s="6" t="inlineStr">
        <is>
          <t>Кудрово</t>
        </is>
      </c>
      <c r="E152" s="7" t="inlineStr">
        <is>
          <t>Кудрово, мкр-н Южное Кудрово</t>
        </is>
      </c>
      <c r="F152" s="6" t="inlineStr"/>
      <c r="G152" s="6" t="inlineStr"/>
      <c r="H152" s="8">
        <f>HYPERLINK("https://www.avito.ru/kudrovo/uslugi/priem_metalloloma_priem_tsvetnogo_loma_8023233430","8023233430")</f>
        <v/>
      </c>
    </row>
    <row r="153">
      <c r="A153" s="4" t="inlineStr"/>
      <c r="B153" s="5">
        <f>HYPERLINK("https://www.avito.ru/sankt-peterburg/uslugi/priem_tsvetnogo_metalloloma_8023331092","Прием цветного металлолома")</f>
        <v/>
      </c>
      <c r="C153" s="6" t="inlineStr"/>
      <c r="D153" s="6" t="inlineStr">
        <is>
          <t>Санкт-Петербург</t>
        </is>
      </c>
      <c r="E153" s="7" t="inlineStr">
        <is>
          <t>Санкт-Петербург, Комендантский пр-т</t>
        </is>
      </c>
      <c r="F153" s="6" t="inlineStr"/>
      <c r="G153" s="6" t="inlineStr"/>
      <c r="H153" s="8">
        <f>HYPERLINK("https://www.avito.ru/sankt-peterburg/uslugi/priem_tsvetnogo_metalloloma_8023331092","8023331092")</f>
        <v/>
      </c>
    </row>
    <row r="154">
      <c r="A154" s="4" t="inlineStr"/>
      <c r="B154" s="5">
        <f>HYPERLINK("https://www.avito.ru/sankt-peterburg/uslugi/priem_metalloloma_demontazh_priem_metalla_8023437588","Прием металлолома / Демонтаж / Прием металла")</f>
        <v/>
      </c>
      <c r="C154" s="6" t="inlineStr"/>
      <c r="D154" s="6" t="inlineStr">
        <is>
          <t>Санкт-Петербург</t>
        </is>
      </c>
      <c r="E154" s="7" t="inlineStr">
        <is>
          <t>Санкт-Петербург, ул. Смолячкова, 21</t>
        </is>
      </c>
      <c r="F154" s="6" t="inlineStr"/>
      <c r="G154" s="6" t="inlineStr"/>
      <c r="H154" s="8">
        <f>HYPERLINK("https://www.avito.ru/sankt-peterburg/uslugi/priem_metalloloma_demontazh_priem_metalla_8023437588","8023437588")</f>
        <v/>
      </c>
    </row>
    <row r="155">
      <c r="A155" s="4" t="inlineStr"/>
      <c r="B155" s="5">
        <f>HYPERLINK("https://www.avito.ru/sankt-peterburg/uslugi/priem_i_vyvoz_metalloloma_sdat_lom_8023514427","Прием и вывоз металлолома / Сдать лом")</f>
        <v/>
      </c>
      <c r="C155" s="6" t="inlineStr"/>
      <c r="D155" s="6" t="inlineStr">
        <is>
          <t>Санкт-Петербург</t>
        </is>
      </c>
      <c r="E155" s="7" t="inlineStr">
        <is>
          <t>Санкт-Петербург, Комендантский пр-т</t>
        </is>
      </c>
      <c r="F155" s="6" t="inlineStr"/>
      <c r="G155" s="6" t="inlineStr"/>
      <c r="H155" s="8">
        <f>HYPERLINK("https://www.avito.ru/sankt-peterburg/uslugi/priem_i_vyvoz_metalloloma_sdat_lom_8023514427","8023514427")</f>
        <v/>
      </c>
    </row>
    <row r="156">
      <c r="A156" s="4" t="inlineStr"/>
      <c r="B156" s="5">
        <f>HYPERLINK("https://www.avito.ru/vsevolozhsk/uslugi/priem_loma_tsvetnyh_metallov_8023520570","Прием лома цветных металлов")</f>
        <v/>
      </c>
      <c r="C156" s="6" t="inlineStr">
        <is>
          <t>Ленинградская область</t>
        </is>
      </c>
      <c r="D156" s="6" t="inlineStr">
        <is>
          <t>Всеволожск</t>
        </is>
      </c>
      <c r="E156" s="7" t="inlineStr">
        <is>
          <t>Всеволожск, Лиственная ул., 16</t>
        </is>
      </c>
      <c r="F156" s="6" t="inlineStr"/>
      <c r="G156" s="6" t="inlineStr"/>
      <c r="H156" s="8">
        <f>HYPERLINK("https://www.avito.ru/vsevolozhsk/uslugi/priem_loma_tsvetnyh_metallov_8023520570","8023520570")</f>
        <v/>
      </c>
    </row>
    <row r="157">
      <c r="A157" s="4" t="inlineStr"/>
      <c r="B157" s="5">
        <f>HYPERLINK("https://www.avito.ru/pikalevo/uslugi/priem_metalloloma_priem_chernogo_loma_opt_8023594630","Прием металлолома / Прием черного лома опт")</f>
        <v/>
      </c>
      <c r="C157" s="6" t="inlineStr">
        <is>
          <t>Ленинградская область</t>
        </is>
      </c>
      <c r="D157" s="6" t="inlineStr">
        <is>
          <t>Пикалево</t>
        </is>
      </c>
      <c r="E157" s="7" t="inlineStr">
        <is>
          <t>Пикалёво, Советская ул.</t>
        </is>
      </c>
      <c r="F157" s="6" t="inlineStr"/>
      <c r="G157" s="6" t="inlineStr"/>
      <c r="H157" s="8">
        <f>HYPERLINK("https://www.avito.ru/pikalevo/uslugi/priem_metalloloma_priem_chernogo_loma_opt_8023594630","8023594630")</f>
        <v/>
      </c>
    </row>
    <row r="158">
      <c r="A158" s="4" t="inlineStr"/>
      <c r="B158" s="5">
        <f>HYPERLINK("https://www.avito.ru/severodvinsk/uslugi/priem_i_vyvoz_metalloloma_priem_redkih_metallov_8023689104","Прием и вывоз металлолома / Прием редких металлов")</f>
        <v/>
      </c>
      <c r="C158" s="6" t="inlineStr">
        <is>
          <t>Архангельская область</t>
        </is>
      </c>
      <c r="D158" s="6" t="inlineStr">
        <is>
          <t>Северодвинск</t>
        </is>
      </c>
      <c r="E158" s="7" t="inlineStr">
        <is>
          <t>Северодвинск, Ягринское ш., 2А</t>
        </is>
      </c>
      <c r="F158" s="6" t="inlineStr"/>
      <c r="G158" s="6" t="inlineStr"/>
      <c r="H158" s="8">
        <f>HYPERLINK("https://www.avito.ru/severodvinsk/uslugi/priem_i_vyvoz_metalloloma_priem_redkih_metallov_8023689104","8023689104")</f>
        <v/>
      </c>
    </row>
    <row r="159">
      <c r="A159" s="4" t="inlineStr"/>
      <c r="B159" s="5">
        <f>HYPERLINK("https://www.avito.ru/babaevo/uslugi/priem_metalloloma_demontazh_priem_metalla_8023753279","Прием металлолома / Демонтаж / Прием металла")</f>
        <v/>
      </c>
      <c r="C159" s="6" t="inlineStr">
        <is>
          <t>Вологодская область</t>
        </is>
      </c>
      <c r="D159" s="6" t="inlineStr">
        <is>
          <t>Бабаево</t>
        </is>
      </c>
      <c r="E159" s="7" t="inlineStr">
        <is>
          <t>Бабаево, Северная ул., 56</t>
        </is>
      </c>
      <c r="F159" s="6" t="inlineStr"/>
      <c r="G159" s="6" t="inlineStr"/>
      <c r="H159" s="8">
        <f>HYPERLINK("https://www.avito.ru/babaevo/uslugi/priem_metalloloma_demontazh_priem_metalla_8023753279","8023753279")</f>
        <v/>
      </c>
    </row>
    <row r="160">
      <c r="A160" s="4" t="inlineStr"/>
      <c r="B160" s="5">
        <f>HYPERLINK("https://www.avito.ru/petrozavodsk/uslugi/priem_metalla_demontazh_priem_metalloloma_8023755702","Прием металла / Демонтаж / Прием металлолома")</f>
        <v/>
      </c>
      <c r="C160" s="6" t="inlineStr">
        <is>
          <t>Карелия</t>
        </is>
      </c>
      <c r="D160" s="6" t="inlineStr">
        <is>
          <t>Петрозаводск</t>
        </is>
      </c>
      <c r="E160" s="7" t="inlineStr">
        <is>
          <t>Петрозаводск, Прибрежный пер., 1</t>
        </is>
      </c>
      <c r="F160" s="6" t="inlineStr"/>
      <c r="G160" s="6" t="inlineStr"/>
      <c r="H160" s="8">
        <f>HYPERLINK("https://www.avito.ru/petrozavodsk/uslugi/priem_metalla_demontazh_priem_metalloloma_8023755702","8023755702")</f>
        <v/>
      </c>
    </row>
    <row r="161">
      <c r="A161" s="4" t="inlineStr"/>
      <c r="B161" s="5">
        <f>HYPERLINK("https://www.avito.ru/vologda/uslugi/priem_i_vyvoz_metalloloma_priem_metalla_8023864157","Прием и вывоз металлолома / Прием металла")</f>
        <v/>
      </c>
      <c r="C161" s="6" t="inlineStr">
        <is>
          <t>Вологодская область</t>
        </is>
      </c>
      <c r="D161" s="6" t="inlineStr">
        <is>
          <t>Вологда</t>
        </is>
      </c>
      <c r="E161" s="7" t="inlineStr">
        <is>
          <t>Вологда, ул. Чернышевского, 141А</t>
        </is>
      </c>
      <c r="F161" s="6" t="inlineStr"/>
      <c r="G161" s="6" t="inlineStr"/>
      <c r="H161" s="8">
        <f>HYPERLINK("https://www.avito.ru/vologda/uslugi/priem_i_vyvoz_metalloloma_priem_metalla_8023864157","8023864157")</f>
        <v/>
      </c>
    </row>
    <row r="162">
      <c r="A162" s="4" t="inlineStr"/>
      <c r="B162" s="5">
        <f>HYPERLINK("https://www.avito.ru/tajtsy/uslugi/priem_metalloloma_priem_chernogo_loma_opt_8023889878","Прием металлолома / Прием черного лома опт")</f>
        <v/>
      </c>
      <c r="C162" s="6" t="inlineStr">
        <is>
          <t>Ленинградская область</t>
        </is>
      </c>
      <c r="D162" s="6" t="inlineStr">
        <is>
          <t>Тайцы</t>
        </is>
      </c>
      <c r="E162" s="7" t="inlineStr">
        <is>
          <t>городской пос. Тайцы, Советская ул.</t>
        </is>
      </c>
      <c r="F162" s="6" t="inlineStr"/>
      <c r="G162" s="6" t="inlineStr"/>
      <c r="H162" s="8">
        <f>HYPERLINK("https://www.avito.ru/tajtsy/uslugi/priem_metalloloma_priem_chernogo_loma_opt_8023889878","8023889878")</f>
        <v/>
      </c>
    </row>
    <row r="163">
      <c r="A163" s="4" t="inlineStr"/>
      <c r="B163" s="5">
        <f>HYPERLINK("https://www.avito.ru/murino/uslugi/priem_metalloloma_priem_chernogo_loma_8022927405","Прием металлолома / Прием черного лома")</f>
        <v/>
      </c>
      <c r="C163" s="6" t="inlineStr">
        <is>
          <t>Ленинградская область</t>
        </is>
      </c>
      <c r="D163" s="6" t="inlineStr">
        <is>
          <t>Мурино</t>
        </is>
      </c>
      <c r="E163" s="7" t="inlineStr">
        <is>
          <t>Мурино, Центральная ул., 50А</t>
        </is>
      </c>
      <c r="F163" s="6" t="inlineStr"/>
      <c r="G163" s="6" t="inlineStr"/>
      <c r="H163" s="8">
        <f>HYPERLINK("https://www.avito.ru/murino/uslugi/priem_metalloloma_priem_chernogo_loma_8022927405","8022927405")</f>
        <v/>
      </c>
    </row>
    <row r="164">
      <c r="A164" s="4" t="inlineStr"/>
      <c r="B164" s="5">
        <f>HYPERLINK("https://www.avito.ru/novodvinsk/uslugi/priem_i_vyvoz_metalloloma_sdat_lom_8022951995","Прием и вывоз металлолома / Сдать лом")</f>
        <v/>
      </c>
      <c r="C164" s="6" t="inlineStr">
        <is>
          <t>Архангельская область</t>
        </is>
      </c>
      <c r="D164" s="6" t="inlineStr">
        <is>
          <t>Новодвинск</t>
        </is>
      </c>
      <c r="E164" s="7" t="inlineStr">
        <is>
          <t>Новодвинск, ул. Фронтовых Бригад, 12</t>
        </is>
      </c>
      <c r="F164" s="6" t="inlineStr"/>
      <c r="G164" s="6" t="inlineStr"/>
      <c r="H164" s="8">
        <f>HYPERLINK("https://www.avito.ru/novodvinsk/uslugi/priem_i_vyvoz_metalloloma_sdat_lom_8022951995","8022951995")</f>
        <v/>
      </c>
    </row>
    <row r="165">
      <c r="A165" s="4" t="inlineStr"/>
      <c r="B165" s="5">
        <f>HYPERLINK("https://www.avito.ru/podporozhe/uslugi/priem_metalloloma_vyvoz_metalloloma_8023045520","Прием металлолома/ Вывоз металлолома")</f>
        <v/>
      </c>
      <c r="C165" s="6" t="inlineStr">
        <is>
          <t>Ленинградская область</t>
        </is>
      </c>
      <c r="D165" s="6" t="inlineStr">
        <is>
          <t>Подпорожье</t>
        </is>
      </c>
      <c r="E165" s="7" t="inlineStr">
        <is>
          <t>Подпорожье</t>
        </is>
      </c>
      <c r="F165" s="6" t="inlineStr"/>
      <c r="G165" s="6" t="inlineStr"/>
      <c r="H165" s="8">
        <f>HYPERLINK("https://www.avito.ru/podporozhe/uslugi/priem_metalloloma_vyvoz_metalloloma_8023045520","8023045520")</f>
        <v/>
      </c>
    </row>
    <row r="166">
      <c r="A166" s="4" t="inlineStr"/>
      <c r="B166" s="5">
        <f>HYPERLINK("https://www.avito.ru/vysotsk/uslugi/priem_metalloloma_priem_chernogo_loma_opt_8023049179","Прием металлолома / Прием черного лома опт")</f>
        <v/>
      </c>
      <c r="C166" s="6" t="inlineStr">
        <is>
          <t>Ленинградская область</t>
        </is>
      </c>
      <c r="D166" s="6" t="inlineStr">
        <is>
          <t>Высоцк</t>
        </is>
      </c>
      <c r="E166" s="7" t="inlineStr">
        <is>
          <t>Высоцк, Центральная ул.</t>
        </is>
      </c>
      <c r="F166" s="6" t="inlineStr"/>
      <c r="G166" s="6" t="inlineStr"/>
      <c r="H166" s="8">
        <f>HYPERLINK("https://www.avito.ru/vysotsk/uslugi/priem_metalloloma_priem_chernogo_loma_opt_8023049179","8023049179")</f>
        <v/>
      </c>
    </row>
    <row r="167">
      <c r="A167" s="4" t="inlineStr"/>
      <c r="B167" s="5">
        <f>HYPERLINK("https://www.avito.ru/malaya_vishera/uslugi/priem_i_vyvoz_metalloloma_priem_metalla_8023052685","Прием и вывоз металлолома / Прием металла")</f>
        <v/>
      </c>
      <c r="C167" s="6" t="inlineStr">
        <is>
          <t>Новгородская область</t>
        </is>
      </c>
      <c r="D167" s="6" t="inlineStr">
        <is>
          <t>Малая Вишера</t>
        </is>
      </c>
      <c r="E167" s="7" t="inlineStr">
        <is>
          <t>Малая Вишера</t>
        </is>
      </c>
      <c r="F167" s="6" t="inlineStr"/>
      <c r="G167" s="6" t="inlineStr"/>
      <c r="H167" s="8">
        <f>HYPERLINK("https://www.avito.ru/malaya_vishera/uslugi/priem_i_vyvoz_metalloloma_priem_metalla_8023052685","8023052685")</f>
        <v/>
      </c>
    </row>
    <row r="168">
      <c r="A168" s="4" t="inlineStr"/>
      <c r="B168" s="5">
        <f>HYPERLINK("https://www.avito.ru/vyborg/uslugi/priem_metalloloma_demontazh_priem_metalla_8023055091","Прием металлолома / Демонтаж / Прием металла")</f>
        <v/>
      </c>
      <c r="C168" s="6" t="inlineStr">
        <is>
          <t>Ленинградская область</t>
        </is>
      </c>
      <c r="D168" s="6" t="inlineStr">
        <is>
          <t>Выборг</t>
        </is>
      </c>
      <c r="E168" s="7" t="inlineStr">
        <is>
          <t>Выборг, Промышленная ул., 10</t>
        </is>
      </c>
      <c r="F168" s="6" t="inlineStr"/>
      <c r="G168" s="6" t="inlineStr"/>
      <c r="H168" s="8">
        <f>HYPERLINK("https://www.avito.ru/vyborg/uslugi/priem_metalloloma_demontazh_priem_metalla_8023055091","8023055091")</f>
        <v/>
      </c>
    </row>
    <row r="169">
      <c r="A169" s="4" t="inlineStr"/>
      <c r="B169" s="5">
        <f>HYPERLINK("https://www.avito.ru/leningradskaya_oblast_kommunar/uslugi/priem_metalloloma_priem_chernogo_loma_8023073172","Прием металлолома / Прием черного лома")</f>
        <v/>
      </c>
      <c r="C169" s="6" t="inlineStr">
        <is>
          <t>Ленинградская область</t>
        </is>
      </c>
      <c r="D169" s="6" t="inlineStr">
        <is>
          <t>Коммунар</t>
        </is>
      </c>
      <c r="E169" s="7" t="inlineStr">
        <is>
          <t>Коммунар, Железнодорожная ул., 6А</t>
        </is>
      </c>
      <c r="F169" s="6" t="inlineStr"/>
      <c r="G169" s="6" t="inlineStr"/>
      <c r="H169" s="8">
        <f>HYPERLINK("https://www.avito.ru/leningradskaya_oblast_kommunar/uslugi/priem_metalloloma_priem_chernogo_loma_8023073172","8023073172")</f>
        <v/>
      </c>
    </row>
    <row r="170">
      <c r="A170" s="4" t="inlineStr"/>
      <c r="B170" s="5">
        <f>HYPERLINK("https://www.avito.ru/leningradskaya_oblast_kirovsk/uslugi/priem_tsvetnogo_metalloloma_8023156728","Прием цветного металлолома")</f>
        <v/>
      </c>
      <c r="C170" s="6" t="inlineStr">
        <is>
          <t>Ленинградская область</t>
        </is>
      </c>
      <c r="D170" s="6" t="inlineStr">
        <is>
          <t>Кировск</t>
        </is>
      </c>
      <c r="E170" s="7" t="inlineStr">
        <is>
          <t>Кировск, Северная ул., 1В</t>
        </is>
      </c>
      <c r="F170" s="6" t="inlineStr"/>
      <c r="G170" s="6" t="inlineStr"/>
      <c r="H170" s="8">
        <f>HYPERLINK("https://www.avito.ru/leningradskaya_oblast_kirovsk/uslugi/priem_tsvetnogo_metalloloma_8023156728","8023156728")</f>
        <v/>
      </c>
    </row>
    <row r="171">
      <c r="A171" s="4" t="inlineStr"/>
      <c r="B171" s="5">
        <f>HYPERLINK("https://www.avito.ru/leningradskaya_oblast_nikolskoe/uslugi/priem_metalloloma_demontazh_vyvoz_metalla_8023161596","Прием металлолома / Демонтаж / Вывоз металла")</f>
        <v/>
      </c>
      <c r="C171" s="6" t="inlineStr">
        <is>
          <t>Ленинградская область</t>
        </is>
      </c>
      <c r="D171" s="6" t="inlineStr">
        <is>
          <t>Никольское</t>
        </is>
      </c>
      <c r="E171" s="7" t="inlineStr">
        <is>
          <t>Никольское</t>
        </is>
      </c>
      <c r="F171" s="6" t="inlineStr"/>
      <c r="G171" s="6" t="inlineStr"/>
      <c r="H171" s="8">
        <f>HYPERLINK("https://www.avito.ru/leningradskaya_oblast_nikolskoe/uslugi/priem_metalloloma_demontazh_vyvoz_metalla_8023161596","8023161596")</f>
        <v/>
      </c>
    </row>
    <row r="172">
      <c r="A172" s="4" t="inlineStr"/>
      <c r="B172" s="5">
        <f>HYPERLINK("https://www.avito.ru/sankt-peterburg/uslugi/priem_metalloloma_skupka_metalla_8023261732","Прием металлолома / Скупка металла")</f>
        <v/>
      </c>
      <c r="C172" s="6" t="inlineStr"/>
      <c r="D172" s="6" t="inlineStr">
        <is>
          <t>Санкт-Петербург</t>
        </is>
      </c>
      <c r="E172" s="7" t="inlineStr">
        <is>
          <t>Санкт-Петербург, Бухарестская ул., 30</t>
        </is>
      </c>
      <c r="F172" s="6" t="inlineStr"/>
      <c r="G172" s="6" t="inlineStr"/>
      <c r="H172" s="8">
        <f>HYPERLINK("https://www.avito.ru/sankt-peterburg/uslugi/priem_metalloloma_skupka_metalla_8023261732","8023261732")</f>
        <v/>
      </c>
    </row>
    <row r="173">
      <c r="A173" s="4" t="inlineStr"/>
      <c r="B173" s="5">
        <f>HYPERLINK("https://www.avito.ru/yanino-1/uslugi/priem_metalloloma_priem_chernogo_loma_8023277035","Прием металлолома / Прием черного лома")</f>
        <v/>
      </c>
      <c r="C173" s="6" t="inlineStr">
        <is>
          <t>Ленинградская область</t>
        </is>
      </c>
      <c r="D173" s="6" t="inlineStr">
        <is>
          <t>Янино-1</t>
        </is>
      </c>
      <c r="E173" s="7" t="inlineStr">
        <is>
          <t>городской пос. Янино-1, Кольцевая ул., 3</t>
        </is>
      </c>
      <c r="F173" s="6" t="inlineStr"/>
      <c r="G173" s="6" t="inlineStr"/>
      <c r="H173" s="8">
        <f>HYPERLINK("https://www.avito.ru/yanino-1/uslugi/priem_metalloloma_priem_chernogo_loma_8023277035","8023277035")</f>
        <v/>
      </c>
    </row>
    <row r="174">
      <c r="A174" s="4" t="inlineStr"/>
      <c r="B174" s="5">
        <f>HYPERLINK("https://www.avito.ru/novaya_ladoga/uslugi/priem_metalloloma_priem_chernogo_loma_opt_8023298585","Прием металлолома / Прием черного лома опт")</f>
        <v/>
      </c>
      <c r="C174" s="6" t="inlineStr">
        <is>
          <t>Ленинградская область</t>
        </is>
      </c>
      <c r="D174" s="6" t="inlineStr">
        <is>
          <t>Новая Ладога</t>
        </is>
      </c>
      <c r="E174" s="7" t="inlineStr">
        <is>
          <t>Новая Ладога, ул. Суворова, 53</t>
        </is>
      </c>
      <c r="F174" s="6" t="inlineStr"/>
      <c r="G174" s="6" t="inlineStr"/>
      <c r="H174" s="8">
        <f>HYPERLINK("https://www.avito.ru/novaya_ladoga/uslugi/priem_metalloloma_priem_chernogo_loma_opt_8023298585","8023298585")</f>
        <v/>
      </c>
    </row>
    <row r="175">
      <c r="A175" s="4" t="inlineStr"/>
      <c r="B175" s="5">
        <f>HYPERLINK("https://www.avito.ru/babaevo/uslugi/priem_metalloloma_priem_loma_demontazh_8023321030","Прием металлолома / Прием лома / Демонтаж")</f>
        <v/>
      </c>
      <c r="C175" s="6" t="inlineStr">
        <is>
          <t>Вологодская область</t>
        </is>
      </c>
      <c r="D175" s="6" t="inlineStr">
        <is>
          <t>Бабаево</t>
        </is>
      </c>
      <c r="E175" s="7" t="inlineStr">
        <is>
          <t>Бабаево, Северная ул., 56</t>
        </is>
      </c>
      <c r="F175" s="6" t="inlineStr"/>
      <c r="G175" s="6" t="inlineStr"/>
      <c r="H175" s="8">
        <f>HYPERLINK("https://www.avito.ru/babaevo/uslugi/priem_metalloloma_priem_loma_demontazh_8023321030","8023321030")</f>
        <v/>
      </c>
    </row>
    <row r="176">
      <c r="A176" s="4" t="inlineStr"/>
      <c r="B176" s="5">
        <f>HYPERLINK("https://www.avito.ru/boksitogorsk/uslugi/priem_metalloloma_vyvoz_metalloloma_8023342591","Прием металлолома/ Вывоз металлолома")</f>
        <v/>
      </c>
      <c r="C176" s="6" t="inlineStr">
        <is>
          <t>Ленинградская область</t>
        </is>
      </c>
      <c r="D176" s="6" t="inlineStr">
        <is>
          <t>Бокситогорск</t>
        </is>
      </c>
      <c r="E176" s="7" t="inlineStr">
        <is>
          <t>Бокситогорск, Дымское ш., 1</t>
        </is>
      </c>
      <c r="F176" s="6" t="inlineStr"/>
      <c r="G176" s="6" t="inlineStr"/>
      <c r="H176" s="8">
        <f>HYPERLINK("https://www.avito.ru/boksitogorsk/uslugi/priem_metalloloma_vyvoz_metalloloma_8023342591","8023342591")</f>
        <v/>
      </c>
    </row>
    <row r="177">
      <c r="A177" s="4" t="inlineStr"/>
      <c r="B177" s="5">
        <f>HYPERLINK("https://www.avito.ru/chudovo/uslugi/priem_tsvetnogo_metalloloma_8023395916","Прием цветного металлолома")</f>
        <v/>
      </c>
      <c r="C177" s="6" t="inlineStr">
        <is>
          <t>Новгородская область</t>
        </is>
      </c>
      <c r="D177" s="6" t="inlineStr">
        <is>
          <t>Чудово</t>
        </is>
      </c>
      <c r="E177" s="7" t="inlineStr">
        <is>
          <t>Чудово, ул. Губина, 1В</t>
        </is>
      </c>
      <c r="F177" s="6" t="inlineStr"/>
      <c r="G177" s="6" t="inlineStr"/>
      <c r="H177" s="8">
        <f>HYPERLINK("https://www.avito.ru/chudovo/uslugi/priem_tsvetnogo_metalloloma_8023395916","8023395916")</f>
        <v/>
      </c>
    </row>
    <row r="178">
      <c r="A178" s="4" t="inlineStr"/>
      <c r="B178" s="5">
        <f>HYPERLINK("https://www.avito.ru/tajtsy/uslugi/priem_metalloloma_priem_loma_demontazh_8023486102","Прием металлолома / Прием лома / Демонтаж")</f>
        <v/>
      </c>
      <c r="C178" s="6" t="inlineStr">
        <is>
          <t>Ленинградская область</t>
        </is>
      </c>
      <c r="D178" s="6" t="inlineStr">
        <is>
          <t>Тайцы</t>
        </is>
      </c>
      <c r="E178" s="7" t="inlineStr">
        <is>
          <t>городской пос. Тайцы, Советская ул.</t>
        </is>
      </c>
      <c r="F178" s="6" t="inlineStr"/>
      <c r="G178" s="6" t="inlineStr"/>
      <c r="H178" s="8">
        <f>HYPERLINK("https://www.avito.ru/tajtsy/uslugi/priem_metalloloma_priem_loma_demontazh_8023486102","8023486102")</f>
        <v/>
      </c>
    </row>
    <row r="179">
      <c r="A179" s="4" t="inlineStr"/>
      <c r="B179" s="5">
        <f>HYPERLINK("https://www.avito.ru/sankt-peterburg/uslugi/priem_metalloloma_priem_loma_demontazh_8023592721","Прием металлолома / Прием лома / Демонтаж")</f>
        <v/>
      </c>
      <c r="C179" s="6" t="inlineStr"/>
      <c r="D179" s="6" t="inlineStr">
        <is>
          <t>Санкт-Петербург</t>
        </is>
      </c>
      <c r="E179" s="7" t="inlineStr">
        <is>
          <t>Санкт-Петербург, Комендантский пр-т</t>
        </is>
      </c>
      <c r="F179" s="6" t="inlineStr"/>
      <c r="G179" s="6" t="inlineStr"/>
      <c r="H179" s="8">
        <f>HYPERLINK("https://www.avito.ru/sankt-peterburg/uslugi/priem_metalloloma_priem_loma_demontazh_8023592721","8023592721")</f>
        <v/>
      </c>
    </row>
    <row r="180">
      <c r="A180" s="4" t="inlineStr"/>
      <c r="B180" s="5">
        <f>HYPERLINK("https://www.avito.ru/leningradskaya_oblast_nikolskoe/uslugi/priem_metalloloma_priem_chernogo_loma_8023616756","Прием металлолома / Прием черного лома")</f>
        <v/>
      </c>
      <c r="C180" s="6" t="inlineStr">
        <is>
          <t>Ленинградская область</t>
        </is>
      </c>
      <c r="D180" s="6" t="inlineStr">
        <is>
          <t>Никольское</t>
        </is>
      </c>
      <c r="E180" s="7" t="inlineStr">
        <is>
          <t>Никольское</t>
        </is>
      </c>
      <c r="F180" s="6" t="inlineStr"/>
      <c r="G180" s="6" t="inlineStr"/>
      <c r="H180" s="8">
        <f>HYPERLINK("https://www.avito.ru/leningradskaya_oblast_nikolskoe/uslugi/priem_metalloloma_priem_chernogo_loma_8023616756","8023616756")</f>
        <v/>
      </c>
    </row>
    <row r="181">
      <c r="A181" s="4" t="inlineStr"/>
      <c r="B181" s="5">
        <f>HYPERLINK("https://www.avito.ru/leningradskaya_oblast_kommunar/uslugi/priem_i_vyvoz_metalloloma_priem_redkih_metallov_8023664674","Прием и вывоз металлолома / Прием редких металлов")</f>
        <v/>
      </c>
      <c r="C181" s="6" t="inlineStr">
        <is>
          <t>Ленинградская область</t>
        </is>
      </c>
      <c r="D181" s="6" t="inlineStr">
        <is>
          <t>Коммунар</t>
        </is>
      </c>
      <c r="E181" s="7" t="inlineStr">
        <is>
          <t>Коммунар, Железнодорожная ул., 6А</t>
        </is>
      </c>
      <c r="F181" s="6" t="inlineStr"/>
      <c r="G181" s="6" t="inlineStr"/>
      <c r="H181" s="8">
        <f>HYPERLINK("https://www.avito.ru/leningradskaya_oblast_kommunar/uslugi/priem_i_vyvoz_metalloloma_priem_redkih_metallov_8023664674","8023664674")</f>
        <v/>
      </c>
    </row>
    <row r="182">
      <c r="A182" s="4" t="inlineStr"/>
      <c r="B182" s="5">
        <f>HYPERLINK("https://www.avito.ru/kipen/uslugi/priem_tsvetnogo_metalloloma_8023677504","Прием цветного металлолома")</f>
        <v/>
      </c>
      <c r="C182" s="6" t="inlineStr">
        <is>
          <t>Ленинградская область</t>
        </is>
      </c>
      <c r="D182" s="6" t="inlineStr">
        <is>
          <t>Кипень</t>
        </is>
      </c>
      <c r="E182" s="7" t="inlineStr">
        <is>
          <t>д. Кипень, Ропшинское ш., 66</t>
        </is>
      </c>
      <c r="F182" s="6" t="inlineStr"/>
      <c r="G182" s="6" t="inlineStr"/>
      <c r="H182" s="8">
        <f>HYPERLINK("https://www.avito.ru/kipen/uslugi/priem_tsvetnogo_metalloloma_8023677504","8023677504")</f>
        <v/>
      </c>
    </row>
    <row r="183">
      <c r="A183" s="4" t="inlineStr"/>
      <c r="B183" s="5">
        <f>HYPERLINK("https://www.avito.ru/sankt-peterburg/uslugi/priem_loma_tsvetnyh_metallov_8023771322","Прием лома цветных металлов")</f>
        <v/>
      </c>
      <c r="C183" s="6" t="inlineStr"/>
      <c r="D183" s="6" t="inlineStr">
        <is>
          <t>Санкт-Петербург</t>
        </is>
      </c>
      <c r="E183" s="7" t="inlineStr">
        <is>
          <t>Санкт-Петербург, ул. Дыбенко, 26</t>
        </is>
      </c>
      <c r="F183" s="6" t="inlineStr"/>
      <c r="G183" s="6" t="inlineStr"/>
      <c r="H183" s="8">
        <f>HYPERLINK("https://www.avito.ru/sankt-peterburg/uslugi/priem_loma_tsvetnyh_metallov_8023771322","8023771322")</f>
        <v/>
      </c>
    </row>
    <row r="184">
      <c r="A184" s="4" t="inlineStr"/>
      <c r="B184" s="5">
        <f>HYPERLINK("https://www.avito.ru/kaduy/uslugi/priem_metalla_sdat_lom_vyvoz_loma_8023813949","Приём металла /Сдать лом / Вывоз лома")</f>
        <v/>
      </c>
      <c r="C184" s="6" t="inlineStr">
        <is>
          <t>Вологодская область</t>
        </is>
      </c>
      <c r="D184" s="6" t="inlineStr">
        <is>
          <t>Кадуй</t>
        </is>
      </c>
      <c r="E184" s="7" t="inlineStr">
        <is>
          <t>рп. Кадуй, Советская ул., 3</t>
        </is>
      </c>
      <c r="F184" s="6" t="inlineStr"/>
      <c r="G184" s="6" t="inlineStr"/>
      <c r="H184" s="8">
        <f>HYPERLINK("https://www.avito.ru/kaduy/uslugi/priem_metalla_sdat_lom_vyvoz_loma_8023813949","8023813949")</f>
        <v/>
      </c>
    </row>
    <row r="185">
      <c r="A185" s="4" t="inlineStr"/>
      <c r="B185" s="5">
        <f>HYPERLINK("https://www.avito.ru/velikiy_ustyug/uslugi/priem_i_vyvoz_metalloloma_sdat_lom_8023831918","Прием и вывоз металлолома / Сдать лом")</f>
        <v/>
      </c>
      <c r="C185" s="6" t="inlineStr">
        <is>
          <t>Вологодская область</t>
        </is>
      </c>
      <c r="D185" s="6" t="inlineStr">
        <is>
          <t>Великий Устюг</t>
        </is>
      </c>
      <c r="E185" s="7" t="inlineStr">
        <is>
          <t>Великий Устюг, Советский пр-т, 3</t>
        </is>
      </c>
      <c r="F185" s="6" t="inlineStr"/>
      <c r="G185" s="6" t="inlineStr"/>
      <c r="H185" s="8">
        <f>HYPERLINK("https://www.avito.ru/velikiy_ustyug/uslugi/priem_i_vyvoz_metalloloma_sdat_lom_8023831918","8023831918")</f>
        <v/>
      </c>
    </row>
    <row r="186">
      <c r="A186" s="4" t="inlineStr"/>
      <c r="B186" s="5">
        <f>HYPERLINK("https://www.avito.ru/sankt-peterburg/uslugi/priem_metalloloma_priem_chernogo_loma_opt_8023869452","Прием металлолома / Прием черного лома опт")</f>
        <v/>
      </c>
      <c r="C186" s="6" t="inlineStr"/>
      <c r="D186" s="6" t="inlineStr">
        <is>
          <t>Санкт-Петербург</t>
        </is>
      </c>
      <c r="E186" s="7" t="inlineStr">
        <is>
          <t>Санкт-Петербург, Коломяжский пр-т, 24</t>
        </is>
      </c>
      <c r="F186" s="6" t="inlineStr"/>
      <c r="G186" s="6" t="inlineStr"/>
      <c r="H186" s="8">
        <f>HYPERLINK("https://www.avito.ru/sankt-peterburg/uslugi/priem_metalloloma_priem_chernogo_loma_opt_8023869452","8023869452")</f>
        <v/>
      </c>
    </row>
    <row r="187">
      <c r="A187" s="4" t="inlineStr"/>
      <c r="B187" s="5">
        <f>HYPERLINK("https://www.avito.ru/novoe_devyatkino/uslugi/priem_metalloloma_priem_tsvetnogo_loma_8022910335","Прием металлолома / Прием цветного лома")</f>
        <v/>
      </c>
      <c r="C187" s="6" t="inlineStr">
        <is>
          <t>Ленинградская область</t>
        </is>
      </c>
      <c r="D187" s="6" t="inlineStr">
        <is>
          <t>Новое Девяткино</t>
        </is>
      </c>
      <c r="E187" s="7" t="inlineStr">
        <is>
          <t>д. Новое Девяткино, Главная ул., 48</t>
        </is>
      </c>
      <c r="F187" s="6" t="inlineStr"/>
      <c r="G187" s="6" t="inlineStr"/>
      <c r="H187" s="8">
        <f>HYPERLINK("https://www.avito.ru/novoe_devyatkino/uslugi/priem_metalloloma_priem_tsvetnogo_loma_8022910335","8022910335")</f>
        <v/>
      </c>
    </row>
    <row r="188">
      <c r="A188" s="4" t="inlineStr"/>
      <c r="B188" s="5">
        <f>HYPERLINK("https://www.avito.ru/krasnaya_dolina/uslugi/priem_metalloloma_priem_chernogo_loma_opt_8022922151","Прием металлолома / Прием черного лома опт")</f>
        <v/>
      </c>
      <c r="C188" s="6" t="inlineStr">
        <is>
          <t>Ленинградская область</t>
        </is>
      </c>
      <c r="D188" s="6" t="inlineStr">
        <is>
          <t>Красная Долина</t>
        </is>
      </c>
      <c r="E188" s="7" t="inlineStr">
        <is>
          <t>пос. Красная Долина, Центральное ш.</t>
        </is>
      </c>
      <c r="F188" s="6" t="inlineStr"/>
      <c r="G188" s="6" t="inlineStr"/>
      <c r="H188" s="8">
        <f>HYPERLINK("https://www.avito.ru/krasnaya_dolina/uslugi/priem_metalloloma_priem_chernogo_loma_opt_8022922151","8022922151")</f>
        <v/>
      </c>
    </row>
    <row r="189">
      <c r="A189" s="4" t="inlineStr"/>
      <c r="B189" s="5">
        <f>HYPERLINK("https://www.avito.ru/leningradskaya_oblast_lebyazhe/uslugi/priem_loma_tsvetnyh_metallov_8022983361","Прием лома цветных металлов")</f>
        <v/>
      </c>
      <c r="C189" s="6" t="inlineStr">
        <is>
          <t>Ленинградская область</t>
        </is>
      </c>
      <c r="D189" s="6" t="inlineStr">
        <is>
          <t>Лебяжье</t>
        </is>
      </c>
      <c r="E189" s="7" t="inlineStr">
        <is>
          <t>городской пос. Лебяжье, Строительная ул., 10</t>
        </is>
      </c>
      <c r="F189" s="6" t="inlineStr"/>
      <c r="G189" s="6" t="inlineStr"/>
      <c r="H189" s="8">
        <f>HYPERLINK("https://www.avito.ru/leningradskaya_oblast_lebyazhe/uslugi/priem_loma_tsvetnyh_metallov_8022983361","8022983361")</f>
        <v/>
      </c>
    </row>
    <row r="190">
      <c r="A190" s="4" t="inlineStr"/>
      <c r="B190" s="5">
        <f>HYPERLINK("https://www.avito.ru/syasstroy/uslugi/priem_metalloloma_demontazh_priem_metalla_8023004580","Прием металлолома / Демонтаж / Прием металла")</f>
        <v/>
      </c>
      <c r="C190" s="6" t="inlineStr">
        <is>
          <t>Ленинградская область</t>
        </is>
      </c>
      <c r="D190" s="6" t="inlineStr">
        <is>
          <t>Сясьстрой</t>
        </is>
      </c>
      <c r="E190" s="7" t="inlineStr">
        <is>
          <t>Сясьстрой, Петрозаводская ул., 34</t>
        </is>
      </c>
      <c r="F190" s="6" t="inlineStr"/>
      <c r="G190" s="6" t="inlineStr"/>
      <c r="H190" s="8">
        <f>HYPERLINK("https://www.avito.ru/syasstroy/uslugi/priem_metalloloma_demontazh_priem_metalla_8023004580","8023004580")</f>
        <v/>
      </c>
    </row>
    <row r="191">
      <c r="A191" s="4" t="inlineStr"/>
      <c r="B191" s="5">
        <f>HYPERLINK("https://www.avito.ru/sheksna/uslugi/priem_loma_priem_tsvetnogo_loma_priem_chermeta_8023005429","Прием лома / Прием цветного лома / Прием чермета")</f>
        <v/>
      </c>
      <c r="C191" s="6" t="inlineStr">
        <is>
          <t>Вологодская область</t>
        </is>
      </c>
      <c r="D191" s="6" t="inlineStr">
        <is>
          <t>Шексна</t>
        </is>
      </c>
      <c r="E191" s="7" t="inlineStr">
        <is>
          <t>рп. Шексна, ДОЗ ул.</t>
        </is>
      </c>
      <c r="F191" s="6" t="inlineStr"/>
      <c r="G191" s="6" t="inlineStr"/>
      <c r="H191" s="8">
        <f>HYPERLINK("https://www.avito.ru/sheksna/uslugi/priem_loma_priem_tsvetnogo_loma_priem_chermeta_8023005429","8023005429")</f>
        <v/>
      </c>
    </row>
    <row r="192">
      <c r="A192" s="4" t="inlineStr"/>
      <c r="B192" s="5">
        <f>HYPERLINK("https://www.avito.ru/volhov/uslugi/priem_i_vyvoz_metalloloma_sdat_lom_8023028862","Прием и вывоз металлолома / Сдать лом")</f>
        <v/>
      </c>
      <c r="C192" s="6" t="inlineStr">
        <is>
          <t>Ленинградская область</t>
        </is>
      </c>
      <c r="D192" s="6" t="inlineStr">
        <is>
          <t>Волхов</t>
        </is>
      </c>
      <c r="E192" s="7" t="inlineStr">
        <is>
          <t>Волхов, Новгородская ул., 7</t>
        </is>
      </c>
      <c r="F192" s="6" t="inlineStr"/>
      <c r="G192" s="6" t="inlineStr"/>
      <c r="H192" s="8">
        <f>HYPERLINK("https://www.avito.ru/volhov/uslugi/priem_i_vyvoz_metalloloma_sdat_lom_8023028862","8023028862")</f>
        <v/>
      </c>
    </row>
    <row r="193">
      <c r="A193" s="4" t="inlineStr"/>
      <c r="B193" s="5">
        <f>HYPERLINK("https://www.avito.ru/tihvin/uslugi/priem_i_vyvoz_metalloloma_priem_metalla_8023033877","Прием и вывоз металлолома / Прием металла")</f>
        <v/>
      </c>
      <c r="C193" s="6" t="inlineStr">
        <is>
          <t>Ленинградская область</t>
        </is>
      </c>
      <c r="D193" s="6" t="inlineStr">
        <is>
          <t>Тихвин</t>
        </is>
      </c>
      <c r="E193" s="7" t="inlineStr">
        <is>
          <t>Тихвин, Право-Вологодский тупик, 9</t>
        </is>
      </c>
      <c r="F193" s="6" t="inlineStr"/>
      <c r="G193" s="6" t="inlineStr"/>
      <c r="H193" s="8">
        <f>HYPERLINK("https://www.avito.ru/tihvin/uslugi/priem_i_vyvoz_metalloloma_priem_metalla_8023033877","8023033877")</f>
        <v/>
      </c>
    </row>
    <row r="194">
      <c r="A194" s="4" t="inlineStr"/>
      <c r="B194" s="5">
        <f>HYPERLINK("https://www.avito.ru/slantsy/uslugi/priem_metalloloma_priem_chernogo_loma_8023054555","Прием металлолома / Прием черного лома")</f>
        <v/>
      </c>
      <c r="C194" s="6" t="inlineStr">
        <is>
          <t>Ленинградская область</t>
        </is>
      </c>
      <c r="D194" s="6" t="inlineStr">
        <is>
          <t>Сланцы</t>
        </is>
      </c>
      <c r="E194" s="7" t="inlineStr">
        <is>
          <t>Сланцы, Сланцевское ш., 32Б</t>
        </is>
      </c>
      <c r="F194" s="6" t="inlineStr"/>
      <c r="G194" s="6" t="inlineStr"/>
      <c r="H194" s="8">
        <f>HYPERLINK("https://www.avito.ru/slantsy/uslugi/priem_metalloloma_priem_chernogo_loma_8023054555","8023054555")</f>
        <v/>
      </c>
    </row>
    <row r="195">
      <c r="A195" s="4" t="inlineStr"/>
      <c r="B195" s="5">
        <f>HYPERLINK("https://www.avito.ru/sankt-peterburg/uslugi/priem_i_vyvoz_metalloloma_samovyvoz_loma_8023068585","Прием и вывоз металлолома / Самовывоз лома")</f>
        <v/>
      </c>
      <c r="C195" s="6" t="inlineStr"/>
      <c r="D195" s="6" t="inlineStr">
        <is>
          <t>Санкт-Петербург</t>
        </is>
      </c>
      <c r="E195" s="7" t="inlineStr">
        <is>
          <t>Санкт-Петербург, б-р Новаторов, 73к4А</t>
        </is>
      </c>
      <c r="F195" s="6" t="inlineStr"/>
      <c r="G195" s="6" t="inlineStr"/>
      <c r="H195" s="8">
        <f>HYPERLINK("https://www.avito.ru/sankt-peterburg/uslugi/priem_i_vyvoz_metalloloma_samovyvoz_loma_8023068585","8023068585")</f>
        <v/>
      </c>
    </row>
    <row r="196">
      <c r="A196" s="4" t="inlineStr"/>
      <c r="B196" s="5">
        <f>HYPERLINK("https://www.avito.ru/kudrovo/uslugi/priem_metalloloma_priem_chernogo_loma_8023070682","Прием металлолома / Прием черного лома")</f>
        <v/>
      </c>
      <c r="C196" s="6" t="inlineStr">
        <is>
          <t>Ленинградская область</t>
        </is>
      </c>
      <c r="D196" s="6" t="inlineStr">
        <is>
          <t>Кудрово</t>
        </is>
      </c>
      <c r="E196" s="7" t="inlineStr">
        <is>
          <t>Кудрово, мкр-н Южное Кудрово</t>
        </is>
      </c>
      <c r="F196" s="6" t="inlineStr"/>
      <c r="G196" s="6" t="inlineStr"/>
      <c r="H196" s="8">
        <f>HYPERLINK("https://www.avito.ru/kudrovo/uslugi/priem_metalloloma_priem_chernogo_loma_8023070682","8023070682")</f>
        <v/>
      </c>
    </row>
    <row r="197">
      <c r="A197" s="4" t="inlineStr"/>
      <c r="B197" s="5">
        <f>HYPERLINK("https://www.avito.ru/podporozhe/uslugi/priem_metalloloma_priem_chernogo_loma_opt_8023075505","Прием металлолома / Прием черного лома опт")</f>
        <v/>
      </c>
      <c r="C197" s="6" t="inlineStr">
        <is>
          <t>Ленинградская область</t>
        </is>
      </c>
      <c r="D197" s="6" t="inlineStr">
        <is>
          <t>Подпорожье</t>
        </is>
      </c>
      <c r="E197" s="7" t="inlineStr">
        <is>
          <t>Подпорожье</t>
        </is>
      </c>
      <c r="F197" s="6" t="inlineStr"/>
      <c r="G197" s="6" t="inlineStr"/>
      <c r="H197" s="8">
        <f>HYPERLINK("https://www.avito.ru/podporozhe/uslugi/priem_metalloloma_priem_chernogo_loma_opt_8023075505","8023075505")</f>
        <v/>
      </c>
    </row>
    <row r="198">
      <c r="A198" s="4" t="inlineStr"/>
      <c r="B198" s="5">
        <f>HYPERLINK("https://www.avito.ru/sankt-peterburg/uslugi/priem_metalla_demontazh_priem_metalloloma_8023197803","Прием металла / Демонтаж / Прием металлолома")</f>
        <v/>
      </c>
      <c r="C198" s="6" t="inlineStr"/>
      <c r="D198" s="6" t="inlineStr">
        <is>
          <t>Санкт-Петербург</t>
        </is>
      </c>
      <c r="E198" s="7" t="inlineStr">
        <is>
          <t>Санкт-Петербург, пр-т Науки, 19к1</t>
        </is>
      </c>
      <c r="F198" s="6" t="inlineStr"/>
      <c r="G198" s="6" t="inlineStr"/>
      <c r="H198" s="8">
        <f>HYPERLINK("https://www.avito.ru/sankt-peterburg/uslugi/priem_metalla_demontazh_priem_metalloloma_8023197803","8023197803")</f>
        <v/>
      </c>
    </row>
    <row r="199">
      <c r="A199" s="4" t="inlineStr"/>
      <c r="B199" s="5">
        <f>HYPERLINK("https://www.avito.ru/sankt-peterburg/uslugi/priem_metalloloma_demontazh_priem_metalla_8023210350","Прием металлолома / Демонтаж / Прием металла")</f>
        <v/>
      </c>
      <c r="C199" s="6" t="inlineStr"/>
      <c r="D199" s="6" t="inlineStr">
        <is>
          <t>Санкт-Петербург</t>
        </is>
      </c>
      <c r="E199" s="7" t="inlineStr">
        <is>
          <t>Санкт-Петербург, пр-т Стачек, 70</t>
        </is>
      </c>
      <c r="F199" s="6" t="inlineStr"/>
      <c r="G199" s="6" t="inlineStr"/>
      <c r="H199" s="8">
        <f>HYPERLINK("https://www.avito.ru/sankt-peterburg/uslugi/priem_metalloloma_demontazh_priem_metalla_8023210350","8023210350")</f>
        <v/>
      </c>
    </row>
    <row r="200">
      <c r="A200" s="4" t="inlineStr"/>
      <c r="B200" s="5">
        <f>HYPERLINK("https://www.avito.ru/nevel/uslugi/priem_metalloloma_priem_chernogo_loma_8023228703","Прием металлолома / Прием черного лома")</f>
        <v/>
      </c>
      <c r="C200" s="6" t="inlineStr">
        <is>
          <t>Псковская область</t>
        </is>
      </c>
      <c r="D200" s="6" t="inlineStr">
        <is>
          <t>Невель</t>
        </is>
      </c>
      <c r="E200" s="7" t="inlineStr">
        <is>
          <t>Невель, ул. Урицкого, 116</t>
        </is>
      </c>
      <c r="F200" s="6" t="inlineStr"/>
      <c r="G200" s="6" t="inlineStr"/>
      <c r="H200" s="8">
        <f>HYPERLINK("https://www.avito.ru/nevel/uslugi/priem_metalloloma_priem_chernogo_loma_8023228703","8023228703")</f>
        <v/>
      </c>
    </row>
    <row r="201">
      <c r="A201" s="4" t="inlineStr"/>
      <c r="B201" s="5">
        <f>HYPERLINK("https://www.avito.ru/shlisselburg/uslugi/priem_metalloloma_priem_chernogo_loma_opt_8023234309","Прием металлолома / Прием черного лома опт")</f>
        <v/>
      </c>
      <c r="C201" s="6" t="inlineStr">
        <is>
          <t>Ленинградская область</t>
        </is>
      </c>
      <c r="D201" s="6" t="inlineStr">
        <is>
          <t>Шлиссельбург</t>
        </is>
      </c>
      <c r="E201" s="7" t="inlineStr">
        <is>
          <t>Шлиссельбург, ул. Красный Тракт, 7А</t>
        </is>
      </c>
      <c r="F201" s="6" t="inlineStr"/>
      <c r="G201" s="6" t="inlineStr"/>
      <c r="H201" s="8">
        <f>HYPERLINK("https://www.avito.ru/shlisselburg/uslugi/priem_metalloloma_priem_chernogo_loma_opt_8023234309","8023234309")</f>
        <v/>
      </c>
    </row>
    <row r="202">
      <c r="A202" s="4" t="inlineStr"/>
      <c r="B202" s="5">
        <f>HYPERLINK("https://www.avito.ru/sankt-peterburg/uslugi/priem_metalloloma_demontazh_vyvoz_metalla_8023240596","Прием металлолома / Демонтаж / Вывоз металла")</f>
        <v/>
      </c>
      <c r="C202" s="6" t="inlineStr"/>
      <c r="D202" s="6" t="inlineStr">
        <is>
          <t>Санкт-Петербург</t>
        </is>
      </c>
      <c r="E202" s="7" t="inlineStr">
        <is>
          <t>Санкт-Петербург, Бухарестская ул.</t>
        </is>
      </c>
      <c r="F202" s="6" t="inlineStr"/>
      <c r="G202" s="6" t="inlineStr"/>
      <c r="H202" s="8">
        <f>HYPERLINK("https://www.avito.ru/sankt-peterburg/uslugi/priem_metalloloma_demontazh_vyvoz_metalla_8023240596","8023240596")</f>
        <v/>
      </c>
    </row>
    <row r="203">
      <c r="A203" s="4" t="inlineStr"/>
      <c r="B203" s="5">
        <f>HYPERLINK("https://www.avito.ru/kingisepp/uslugi/priem_metalloloma_priem_chernogo_loma_8023301062","Прием металлолома / Прием черного лома")</f>
        <v/>
      </c>
      <c r="C203" s="6" t="inlineStr">
        <is>
          <t>Ленинградская область</t>
        </is>
      </c>
      <c r="D203" s="6" t="inlineStr">
        <is>
          <t>Кингисепп</t>
        </is>
      </c>
      <c r="E203" s="7" t="inlineStr">
        <is>
          <t>Кингисепп, ул. Дорожников, 35</t>
        </is>
      </c>
      <c r="F203" s="6" t="inlineStr"/>
      <c r="G203" s="6" t="inlineStr"/>
      <c r="H203" s="8">
        <f>HYPERLINK("https://www.avito.ru/kingisepp/uslugi/priem_metalloloma_priem_chernogo_loma_8023301062","8023301062")</f>
        <v/>
      </c>
    </row>
    <row r="204">
      <c r="A204" s="4" t="inlineStr"/>
      <c r="B204" s="5">
        <f>HYPERLINK("https://www.avito.ru/leningradskaya_oblast_lebyazhe/uslugi/priem_metalla_demontazh_priem_metalloloma_8023332563","Прием металла / Демонтаж / Прием металлолома")</f>
        <v/>
      </c>
      <c r="C204" s="6" t="inlineStr">
        <is>
          <t>Ленинградская область</t>
        </is>
      </c>
      <c r="D204" s="6" t="inlineStr">
        <is>
          <t>Лебяжье</t>
        </is>
      </c>
      <c r="E204" s="7" t="inlineStr">
        <is>
          <t>городской пос. Лебяжье, Строительная ул., 10</t>
        </is>
      </c>
      <c r="F204" s="6" t="inlineStr"/>
      <c r="G204" s="6" t="inlineStr"/>
      <c r="H204" s="8">
        <f>HYPERLINK("https://www.avito.ru/leningradskaya_oblast_lebyazhe/uslugi/priem_metalla_demontazh_priem_metalloloma_8023332563","8023332563")</f>
        <v/>
      </c>
    </row>
    <row r="205">
      <c r="A205" s="4" t="inlineStr"/>
      <c r="B205" s="5">
        <f>HYPERLINK("https://www.avito.ru/staraya/uslugi/priem_metalloloma_vyvoz_metalloloma_8023354444","Прием металлолома/ Вывоз металлолома")</f>
        <v/>
      </c>
      <c r="C205" s="6" t="inlineStr">
        <is>
          <t>Ленинградская область</t>
        </is>
      </c>
      <c r="D205" s="6" t="inlineStr">
        <is>
          <t>Старая</t>
        </is>
      </c>
      <c r="E205" s="7" t="inlineStr">
        <is>
          <t>Колтуши, Новосергиевский пр., 5Б</t>
        </is>
      </c>
      <c r="F205" s="6" t="inlineStr"/>
      <c r="G205" s="6" t="inlineStr"/>
      <c r="H205" s="8">
        <f>HYPERLINK("https://www.avito.ru/staraya/uslugi/priem_metalloloma_vyvoz_metalloloma_8023354444","8023354444")</f>
        <v/>
      </c>
    </row>
    <row r="206">
      <c r="A206" s="4" t="inlineStr"/>
      <c r="B206" s="5">
        <f>HYPERLINK("https://www.avito.ru/gatchina/uslugi/priem_i_vyvoz_metalloloma_priem_metalla_8023409783","Прием и вывоз металлолома / Прием металла")</f>
        <v/>
      </c>
      <c r="C206" s="6" t="inlineStr">
        <is>
          <t>Ленинградская область</t>
        </is>
      </c>
      <c r="D206" s="6" t="inlineStr">
        <is>
          <t>Гатчина</t>
        </is>
      </c>
      <c r="E206" s="7" t="inlineStr">
        <is>
          <t>Гатчина, ул. Старая Дорога, 2</t>
        </is>
      </c>
      <c r="F206" s="6" t="inlineStr"/>
      <c r="G206" s="6" t="inlineStr"/>
      <c r="H206" s="8">
        <f>HYPERLINK("https://www.avito.ru/gatchina/uslugi/priem_i_vyvoz_metalloloma_priem_metalla_8023409783","8023409783")</f>
        <v/>
      </c>
    </row>
    <row r="207">
      <c r="A207" s="4" t="inlineStr"/>
      <c r="B207" s="5">
        <f>HYPERLINK("https://www.avito.ru/sankt-peterburg/uslugi/priem_i_vyvoz_metalloloma_priem_redkih_metallov_8023414338","Прием и вывоз металлолома / Прием редких металлов")</f>
        <v/>
      </c>
      <c r="C207" s="6" t="inlineStr"/>
      <c r="D207" s="6" t="inlineStr">
        <is>
          <t>Санкт-Петербург</t>
        </is>
      </c>
      <c r="E207" s="7" t="inlineStr">
        <is>
          <t>Санкт-Петербург, ул. Савушкина, 2</t>
        </is>
      </c>
      <c r="F207" s="6" t="inlineStr"/>
      <c r="G207" s="6" t="inlineStr"/>
      <c r="H207" s="8">
        <f>HYPERLINK("https://www.avito.ru/sankt-peterburg/uslugi/priem_i_vyvoz_metalloloma_priem_redkih_metallov_8023414338","8023414338")</f>
        <v/>
      </c>
    </row>
    <row r="208">
      <c r="A208" s="4" t="inlineStr"/>
      <c r="B208" s="5">
        <f>HYPERLINK("https://www.avito.ru/leningradskaya_oblast_nikolskoe/uslugi/priem_loma_tsvetnyh_metallov_8023459410","Прием лома цветных металлов")</f>
        <v/>
      </c>
      <c r="C208" s="6" t="inlineStr">
        <is>
          <t>Ленинградская область</t>
        </is>
      </c>
      <c r="D208" s="6" t="inlineStr">
        <is>
          <t>Никольское</t>
        </is>
      </c>
      <c r="E208" s="7" t="inlineStr">
        <is>
          <t>Никольское</t>
        </is>
      </c>
      <c r="F208" s="6" t="inlineStr"/>
      <c r="G208" s="6" t="inlineStr"/>
      <c r="H208" s="8">
        <f>HYPERLINK("https://www.avito.ru/leningradskaya_oblast_nikolskoe/uslugi/priem_loma_tsvetnyh_metallov_8023459410","8023459410")</f>
        <v/>
      </c>
    </row>
    <row r="209">
      <c r="A209" s="4" t="inlineStr"/>
      <c r="B209" s="5">
        <f>HYPERLINK("https://www.avito.ru/leningradskaya_oblast_primorsk/uslugi/priem_metalloloma_priem_tsvetnogo_loma_8023499507","Прием металлолома / Прием цветного лома")</f>
        <v/>
      </c>
      <c r="C209" s="6" t="inlineStr">
        <is>
          <t>Ленинградская область</t>
        </is>
      </c>
      <c r="D209" s="6" t="inlineStr">
        <is>
          <t>Приморск</t>
        </is>
      </c>
      <c r="E209" s="7" t="inlineStr">
        <is>
          <t>Приморск, наб. Лебедева</t>
        </is>
      </c>
      <c r="F209" s="6" t="inlineStr"/>
      <c r="G209" s="6" t="inlineStr"/>
      <c r="H209" s="8">
        <f>HYPERLINK("https://www.avito.ru/leningradskaya_oblast_primorsk/uslugi/priem_metalloloma_priem_tsvetnogo_loma_8023499507","8023499507")</f>
        <v/>
      </c>
    </row>
    <row r="210">
      <c r="A210" s="4" t="inlineStr"/>
      <c r="B210" s="5">
        <f>HYPERLINK("https://www.avito.ru/novoselie/uslugi/priem_metalloloma_priem_chernogo_loma_8023505413","Прием металлолома / Прием черного лома")</f>
        <v/>
      </c>
      <c r="C210" s="6" t="inlineStr">
        <is>
          <t>Ленинградская область</t>
        </is>
      </c>
      <c r="D210" s="6" t="inlineStr">
        <is>
          <t>Новоселье</t>
        </is>
      </c>
      <c r="E210" s="7" t="inlineStr">
        <is>
          <t>городской пос. Новоселье, Красносельское ш.</t>
        </is>
      </c>
      <c r="F210" s="6" t="inlineStr"/>
      <c r="G210" s="6" t="inlineStr"/>
      <c r="H210" s="8">
        <f>HYPERLINK("https://www.avito.ru/novoselie/uslugi/priem_metalloloma_priem_chernogo_loma_8023505413","8023505413")</f>
        <v/>
      </c>
    </row>
    <row r="211">
      <c r="A211" s="4" t="inlineStr"/>
      <c r="B211" s="5">
        <f>HYPERLINK("https://www.avito.ru/staraya/uslugi/priem_metalloloma_priem_chernogo_loma_opt_8023521575","Прием металлолома / Прием черного лома опт")</f>
        <v/>
      </c>
      <c r="C211" s="6" t="inlineStr">
        <is>
          <t>Ленинградская область</t>
        </is>
      </c>
      <c r="D211" s="6" t="inlineStr">
        <is>
          <t>Старая</t>
        </is>
      </c>
      <c r="E211" s="7" t="inlineStr">
        <is>
          <t>Колтуши, Новосергиевский пр., 5Б</t>
        </is>
      </c>
      <c r="F211" s="6" t="inlineStr"/>
      <c r="G211" s="6" t="inlineStr"/>
      <c r="H211" s="8">
        <f>HYPERLINK("https://www.avito.ru/staraya/uslugi/priem_metalloloma_priem_chernogo_loma_opt_8023521575","8023521575")</f>
        <v/>
      </c>
    </row>
    <row r="212">
      <c r="A212" s="4" t="inlineStr"/>
      <c r="B212" s="5">
        <f>HYPERLINK("https://www.avito.ru/vytegra/uslugi/priem_metalloloma_vyvoz_metalloloma_8023544567","Прием металлолома/ Вывоз металлолома")</f>
        <v/>
      </c>
      <c r="C212" s="6" t="inlineStr">
        <is>
          <t>Вологодская область</t>
        </is>
      </c>
      <c r="D212" s="6" t="inlineStr">
        <is>
          <t>Вытегра</t>
        </is>
      </c>
      <c r="E212" s="7" t="inlineStr">
        <is>
          <t>Вытегра, Вологодская ул., 1</t>
        </is>
      </c>
      <c r="F212" s="6" t="inlineStr"/>
      <c r="G212" s="6" t="inlineStr"/>
      <c r="H212" s="8">
        <f>HYPERLINK("https://www.avito.ru/vytegra/uslugi/priem_metalloloma_vyvoz_metalloloma_8023544567","8023544567")</f>
        <v/>
      </c>
    </row>
    <row r="213">
      <c r="A213" s="4" t="inlineStr"/>
      <c r="B213" s="5">
        <f>HYPERLINK("https://www.avito.ru/sankt-peterburg/uslugi/priem_metalloloma_priem_chernogo_loma_8023553027","Прием металлолома / Прием черного лома")</f>
        <v/>
      </c>
      <c r="C213" s="6" t="inlineStr"/>
      <c r="D213" s="6" t="inlineStr">
        <is>
          <t>Санкт-Петербург</t>
        </is>
      </c>
      <c r="E213" s="7" t="inlineStr">
        <is>
          <t>Санкт-Петербург, Гражданский пр-т, 116к1</t>
        </is>
      </c>
      <c r="F213" s="6" t="inlineStr"/>
      <c r="G213" s="6" t="inlineStr"/>
      <c r="H213" s="8">
        <f>HYPERLINK("https://www.avito.ru/sankt-peterburg/uslugi/priem_metalloloma_priem_chernogo_loma_8023553027","8023553027")</f>
        <v/>
      </c>
    </row>
    <row r="214">
      <c r="A214" s="4" t="inlineStr"/>
      <c r="B214" s="5">
        <f>HYPERLINK("https://www.avito.ru/sankt-peterburg/uslugi/priem_metalloloma_skupka_metalla_8023563857","Прием металлолома / Скупка металла")</f>
        <v/>
      </c>
      <c r="C214" s="6" t="inlineStr"/>
      <c r="D214" s="6" t="inlineStr">
        <is>
          <t>Санкт-Петербург</t>
        </is>
      </c>
      <c r="E214" s="7" t="inlineStr">
        <is>
          <t>Санкт-Петербург, Заневский пр-т, 69</t>
        </is>
      </c>
      <c r="F214" s="6" t="inlineStr"/>
      <c r="G214" s="6" t="inlineStr"/>
      <c r="H214" s="8">
        <f>HYPERLINK("https://www.avito.ru/sankt-peterburg/uslugi/priem_metalloloma_skupka_metalla_8023563857","8023563857")</f>
        <v/>
      </c>
    </row>
    <row r="215">
      <c r="A215" s="4" t="inlineStr"/>
      <c r="B215" s="5">
        <f>HYPERLINK("https://www.avito.ru/borovichi/uslugi/priem_i_vyvoz_metalloloma_sdat_lom_8023592758","Прием и вывоз металлолома / Сдать лом")</f>
        <v/>
      </c>
      <c r="C215" s="6" t="inlineStr">
        <is>
          <t>Новгородская область</t>
        </is>
      </c>
      <c r="D215" s="6" t="inlineStr">
        <is>
          <t>Боровичи</t>
        </is>
      </c>
      <c r="E215" s="7" t="inlineStr">
        <is>
          <t>Боровичи, Новгородская ул., 1</t>
        </is>
      </c>
      <c r="F215" s="6" t="inlineStr"/>
      <c r="G215" s="6" t="inlineStr"/>
      <c r="H215" s="8">
        <f>HYPERLINK("https://www.avito.ru/borovichi/uslugi/priem_i_vyvoz_metalloloma_sdat_lom_8023592758","8023592758")</f>
        <v/>
      </c>
    </row>
    <row r="216">
      <c r="A216" s="4" t="inlineStr"/>
      <c r="B216" s="5">
        <f>HYPERLINK("https://www.avito.ru/leningradskaya_oblast_primorsk/uslugi/priem_i_vyvoz_metalloloma_priem_redkih_metallov_8023603218","Прием и вывоз металлолома / Прием редких металлов")</f>
        <v/>
      </c>
      <c r="C216" s="6" t="inlineStr">
        <is>
          <t>Ленинградская область</t>
        </is>
      </c>
      <c r="D216" s="6" t="inlineStr">
        <is>
          <t>Приморск</t>
        </is>
      </c>
      <c r="E216" s="7" t="inlineStr">
        <is>
          <t>Приморск, наб. Лебедева</t>
        </is>
      </c>
      <c r="F216" s="6" t="inlineStr"/>
      <c r="G216" s="6" t="inlineStr"/>
      <c r="H216" s="8">
        <f>HYPERLINK("https://www.avito.ru/leningradskaya_oblast_primorsk/uslugi/priem_i_vyvoz_metalloloma_priem_redkih_metallov_8023603218","8023603218")</f>
        <v/>
      </c>
    </row>
    <row r="217">
      <c r="A217" s="4" t="inlineStr"/>
      <c r="B217" s="5">
        <f>HYPERLINK("https://www.avito.ru/murino/uslugi/priem_metalloloma_priem_tsvetnogo_loma_8023648921","Прием металлолома / Прием цветного лома")</f>
        <v/>
      </c>
      <c r="C217" s="6" t="inlineStr">
        <is>
          <t>Ленинградская область</t>
        </is>
      </c>
      <c r="D217" s="6" t="inlineStr">
        <is>
          <t>Мурино</t>
        </is>
      </c>
      <c r="E217" s="7" t="inlineStr">
        <is>
          <t>Мурино, Центральная ул., 50А</t>
        </is>
      </c>
      <c r="F217" s="6" t="inlineStr"/>
      <c r="G217" s="6" t="inlineStr"/>
      <c r="H217" s="8">
        <f>HYPERLINK("https://www.avito.ru/murino/uslugi/priem_metalloloma_priem_tsvetnogo_loma_8023648921","8023648921")</f>
        <v/>
      </c>
    </row>
    <row r="218">
      <c r="A218" s="4" t="inlineStr"/>
      <c r="B218" s="5">
        <f>HYPERLINK("https://www.avito.ru/sertolovo/uslugi/priem_metalla_sdat_lom_vyvoz_loma_8023667255","Приём металла /Сдать лом / Вывоз лома")</f>
        <v/>
      </c>
      <c r="C218" s="6" t="inlineStr">
        <is>
          <t>Ленинградская область</t>
        </is>
      </c>
      <c r="D218" s="6" t="inlineStr">
        <is>
          <t>Сертолово</t>
        </is>
      </c>
      <c r="E218" s="7" t="inlineStr">
        <is>
          <t>Сертолово, Песочная ул., 8к1</t>
        </is>
      </c>
      <c r="F218" s="6" t="inlineStr"/>
      <c r="G218" s="6" t="inlineStr"/>
      <c r="H218" s="8">
        <f>HYPERLINK("https://www.avito.ru/sertolovo/uslugi/priem_metalla_sdat_lom_vyvoz_loma_8023667255","8023667255")</f>
        <v/>
      </c>
    </row>
    <row r="219">
      <c r="A219" s="4" t="inlineStr"/>
      <c r="B219" s="5">
        <f>HYPERLINK("https://www.avito.ru/ostrov/uslugi/priem_metalla_demontazh_priem_metalloloma_8023687091","Прием металла / Демонтаж / Прием металлолома")</f>
        <v/>
      </c>
      <c r="C219" s="6" t="inlineStr">
        <is>
          <t>Псковская область</t>
        </is>
      </c>
      <c r="D219" s="6" t="inlineStr">
        <is>
          <t>Остров</t>
        </is>
      </c>
      <c r="E219" s="7" t="inlineStr">
        <is>
          <t>Остров, ул. Карла Маркса, 90Б</t>
        </is>
      </c>
      <c r="F219" s="6" t="inlineStr"/>
      <c r="G219" s="6" t="inlineStr"/>
      <c r="H219" s="8">
        <f>HYPERLINK("https://www.avito.ru/ostrov/uslugi/priem_metalla_demontazh_priem_metalloloma_8023687091","8023687091")</f>
        <v/>
      </c>
    </row>
    <row r="220">
      <c r="A220" s="4" t="inlineStr"/>
      <c r="B220" s="5">
        <f>HYPERLINK("https://www.avito.ru/sankt-peterburg/uslugi/priem_metalla_sdat_lom_vyvoz_loma_8023700811","Приём металла /Сдать лом / Вывоз лома")</f>
        <v/>
      </c>
      <c r="C220" s="6" t="inlineStr"/>
      <c r="D220" s="6" t="inlineStr">
        <is>
          <t>Санкт-Петербург</t>
        </is>
      </c>
      <c r="E220" s="7" t="inlineStr">
        <is>
          <t>Санкт-Петербург, Дворцовая пл.</t>
        </is>
      </c>
      <c r="F220" s="6" t="inlineStr"/>
      <c r="G220" s="6" t="inlineStr"/>
      <c r="H220" s="8">
        <f>HYPERLINK("https://www.avito.ru/sankt-peterburg/uslugi/priem_metalla_sdat_lom_vyvoz_loma_8023700811","8023700811")</f>
        <v/>
      </c>
    </row>
    <row r="221">
      <c r="A221" s="4" t="inlineStr"/>
      <c r="B221" s="5">
        <f>HYPERLINK("https://www.avito.ru/ivangorod/uslugi/priem_metalloloma_demontazh_vyvoz_metalla_8023757371","Прием металлолома / Демонтаж / Вывоз металла")</f>
        <v/>
      </c>
      <c r="C221" s="6" t="inlineStr">
        <is>
          <t>Ленинградская область</t>
        </is>
      </c>
      <c r="D221" s="6" t="inlineStr">
        <is>
          <t>Ивангород</t>
        </is>
      </c>
      <c r="E221" s="7" t="inlineStr">
        <is>
          <t>Ивангород, Кингисеппское ш.</t>
        </is>
      </c>
      <c r="F221" s="6" t="inlineStr"/>
      <c r="G221" s="6" t="inlineStr"/>
      <c r="H221" s="8">
        <f>HYPERLINK("https://www.avito.ru/ivangorod/uslugi/priem_metalloloma_demontazh_vyvoz_metalla_8023757371","8023757371")</f>
        <v/>
      </c>
    </row>
    <row r="222">
      <c r="A222" s="4" t="inlineStr"/>
      <c r="B222" s="5">
        <f>HYPERLINK("https://www.avito.ru/vsevolozhsk/uslugi/priem_metalla_demontazh_priem_metalloloma_8023772773","Прием металла / Демонтаж / Прием металлолома")</f>
        <v/>
      </c>
      <c r="C222" s="6" t="inlineStr">
        <is>
          <t>Ленинградская область</t>
        </is>
      </c>
      <c r="D222" s="6" t="inlineStr">
        <is>
          <t>Всеволожск</t>
        </is>
      </c>
      <c r="E222" s="7" t="inlineStr">
        <is>
          <t>Всеволожск, Лиственная ул., 16</t>
        </is>
      </c>
      <c r="F222" s="6" t="inlineStr"/>
      <c r="G222" s="6" t="inlineStr"/>
      <c r="H222" s="8">
        <f>HYPERLINK("https://www.avito.ru/vsevolozhsk/uslugi/priem_metalla_demontazh_priem_metalloloma_8023772773","8023772773")</f>
        <v/>
      </c>
    </row>
    <row r="223">
      <c r="A223" s="4" t="inlineStr"/>
      <c r="B223" s="5">
        <f>HYPERLINK("https://www.avito.ru/sankt-peterburg/uslugi/priem_metalloloma_priem_chernogo_loma_8023857552","Прием металлолома / Прием черного лома")</f>
        <v/>
      </c>
      <c r="C223" s="6" t="inlineStr"/>
      <c r="D223" s="6" t="inlineStr">
        <is>
          <t>Санкт-Петербург</t>
        </is>
      </c>
      <c r="E223" s="7" t="inlineStr">
        <is>
          <t>Санкт-Петербург, пл. Стачек</t>
        </is>
      </c>
      <c r="F223" s="6" t="inlineStr"/>
      <c r="G223" s="6" t="inlineStr"/>
      <c r="H223" s="8">
        <f>HYPERLINK("https://www.avito.ru/sankt-peterburg/uslugi/priem_metalloloma_priem_chernogo_loma_8023857552","8023857552")</f>
        <v/>
      </c>
    </row>
    <row r="224">
      <c r="A224" s="4" t="inlineStr"/>
      <c r="B224" s="5">
        <f>HYPERLINK("https://www.avito.ru/kamennogorsk/uslugi/priem_metalloloma_priem_chernogo_loma_opt_8022910285","Прием металлолома / Прием черного лома опт")</f>
        <v/>
      </c>
      <c r="C224" s="6" t="inlineStr">
        <is>
          <t>Ленинградская область</t>
        </is>
      </c>
      <c r="D224" s="6" t="inlineStr">
        <is>
          <t>Каменногорск</t>
        </is>
      </c>
      <c r="E224" s="7" t="inlineStr">
        <is>
          <t>Каменногорск, Ленинградское ш.</t>
        </is>
      </c>
      <c r="F224" s="6" t="inlineStr"/>
      <c r="G224" s="6" t="inlineStr"/>
      <c r="H224" s="8">
        <f>HYPERLINK("https://www.avito.ru/kamennogorsk/uslugi/priem_metalloloma_priem_chernogo_loma_opt_8022910285","8022910285")</f>
        <v/>
      </c>
    </row>
    <row r="225">
      <c r="A225" s="4" t="inlineStr"/>
      <c r="B225" s="5">
        <f>HYPERLINK("https://www.avito.ru/sankt-peterburg/uslugi/priem_i_vyvoz_metalloloma_priem_metalla_8022913806","Прием и вывоз металлолома / Прием металла")</f>
        <v/>
      </c>
      <c r="C225" s="6" t="inlineStr"/>
      <c r="D225" s="6" t="inlineStr">
        <is>
          <t>Санкт-Петербург</t>
        </is>
      </c>
      <c r="E225" s="7" t="inlineStr">
        <is>
          <t>Санкт-Петербург, пл. Стачек</t>
        </is>
      </c>
      <c r="F225" s="6" t="inlineStr"/>
      <c r="G225" s="6" t="inlineStr"/>
      <c r="H225" s="8">
        <f>HYPERLINK("https://www.avito.ru/sankt-peterburg/uslugi/priem_i_vyvoz_metalloloma_priem_metalla_8022913806","8022913806")</f>
        <v/>
      </c>
    </row>
    <row r="226">
      <c r="A226" s="4" t="inlineStr"/>
      <c r="B226" s="5">
        <f>HYPERLINK("https://www.avito.ru/shlisselburg/uslugi/priem_metalla_demontazh_priem_metalloloma_8022921132","Прием металла / Демонтаж / Прием металлолома")</f>
        <v/>
      </c>
      <c r="C226" s="6" t="inlineStr">
        <is>
          <t>Ленинградская область</t>
        </is>
      </c>
      <c r="D226" s="6" t="inlineStr">
        <is>
          <t>Шлиссельбург</t>
        </is>
      </c>
      <c r="E226" s="7" t="inlineStr">
        <is>
          <t>Шлиссельбург, ул. Красный Тракт, 7А</t>
        </is>
      </c>
      <c r="F226" s="6" t="inlineStr"/>
      <c r="G226" s="6" t="inlineStr"/>
      <c r="H226" s="8">
        <f>HYPERLINK("https://www.avito.ru/shlisselburg/uslugi/priem_metalla_demontazh_priem_metalloloma_8022921132","8022921132")</f>
        <v/>
      </c>
    </row>
    <row r="227">
      <c r="A227" s="4" t="inlineStr"/>
      <c r="B227" s="5">
        <f>HYPERLINK("https://www.avito.ru/murino/uslugi/priem_i_vyvoz_metalloloma_priem_metalla_8022928449","Прием и вывоз металлолома / Прием металла")</f>
        <v/>
      </c>
      <c r="C227" s="6" t="inlineStr">
        <is>
          <t>Ленинградская область</t>
        </is>
      </c>
      <c r="D227" s="6" t="inlineStr">
        <is>
          <t>Мурино</t>
        </is>
      </c>
      <c r="E227" s="7" t="inlineStr">
        <is>
          <t>Мурино, Центральная ул., 50А</t>
        </is>
      </c>
      <c r="F227" s="6" t="inlineStr"/>
      <c r="G227" s="6" t="inlineStr"/>
      <c r="H227" s="8">
        <f>HYPERLINK("https://www.avito.ru/murino/uslugi/priem_i_vyvoz_metalloloma_priem_metalla_8022928449","8022928449")</f>
        <v/>
      </c>
    </row>
    <row r="228">
      <c r="A228" s="4" t="inlineStr"/>
      <c r="B228" s="5">
        <f>HYPERLINK("https://www.avito.ru/yanino-1/uslugi/priem_i_vyvoz_metalloloma_sdat_lom_8022937882","Прием и вывоз металлолома / Сдать лом")</f>
        <v/>
      </c>
      <c r="C228" s="6" t="inlineStr">
        <is>
          <t>Ленинградская область</t>
        </is>
      </c>
      <c r="D228" s="6" t="inlineStr">
        <is>
          <t>Янино-1</t>
        </is>
      </c>
      <c r="E228" s="7" t="inlineStr">
        <is>
          <t>городской пос. Янино-1, Кольцевая ул., 3</t>
        </is>
      </c>
      <c r="F228" s="6" t="inlineStr"/>
      <c r="G228" s="6" t="inlineStr"/>
      <c r="H228" s="8">
        <f>HYPERLINK("https://www.avito.ru/yanino-1/uslugi/priem_i_vyvoz_metalloloma_sdat_lom_8022937882","8022937882")</f>
        <v/>
      </c>
    </row>
    <row r="229">
      <c r="A229" s="4" t="inlineStr"/>
      <c r="B229" s="5">
        <f>HYPERLINK("https://www.avito.ru/volosovo/uslugi/priem_metalloloma_skupka_metalla_8022943619","Прием металлолома / Скупка металла")</f>
        <v/>
      </c>
      <c r="C229" s="6" t="inlineStr">
        <is>
          <t>Ленинградская область</t>
        </is>
      </c>
      <c r="D229" s="6" t="inlineStr">
        <is>
          <t>Волосово</t>
        </is>
      </c>
      <c r="E229" s="7" t="inlineStr">
        <is>
          <t>Волосово, ул. Восстания, 6</t>
        </is>
      </c>
      <c r="F229" s="6" t="inlineStr"/>
      <c r="G229" s="6" t="inlineStr"/>
      <c r="H229" s="8">
        <f>HYPERLINK("https://www.avito.ru/volosovo/uslugi/priem_metalloloma_skupka_metalla_8022943619","8022943619")</f>
        <v/>
      </c>
    </row>
    <row r="230">
      <c r="A230" s="4" t="inlineStr"/>
      <c r="B230" s="5">
        <f>HYPERLINK("https://www.avito.ru/vysotsk/uslugi/priem_metalloloma_priem_loma_demontazh_8022957959","Прием металлолома / Прием лома / Демонтаж")</f>
        <v/>
      </c>
      <c r="C230" s="6" t="inlineStr">
        <is>
          <t>Ленинградская область</t>
        </is>
      </c>
      <c r="D230" s="6" t="inlineStr">
        <is>
          <t>Высоцк</t>
        </is>
      </c>
      <c r="E230" s="7" t="inlineStr">
        <is>
          <t>Высоцк, Центральная ул.</t>
        </is>
      </c>
      <c r="F230" s="6" t="inlineStr"/>
      <c r="G230" s="6" t="inlineStr"/>
      <c r="H230" s="8">
        <f>HYPERLINK("https://www.avito.ru/vysotsk/uslugi/priem_metalloloma_priem_loma_demontazh_8022957959","8022957959")</f>
        <v/>
      </c>
    </row>
    <row r="231">
      <c r="A231" s="4" t="inlineStr"/>
      <c r="B231" s="5">
        <f>HYPERLINK("https://www.avito.ru/bugry/uslugi/priem_metalloloma_priem_chernogo_loma_8022965578","Прием металлолома / Прием черного лома")</f>
        <v/>
      </c>
      <c r="C231" s="6" t="inlineStr">
        <is>
          <t>Ленинградская область</t>
        </is>
      </c>
      <c r="D231" s="6" t="inlineStr">
        <is>
          <t>Бугры</t>
        </is>
      </c>
      <c r="E231" s="7" t="inlineStr">
        <is>
          <t>Бугры, Шоссейная ул., 35Вк1</t>
        </is>
      </c>
      <c r="F231" s="6" t="inlineStr"/>
      <c r="G231" s="6" t="inlineStr"/>
      <c r="H231" s="8">
        <f>HYPERLINK("https://www.avito.ru/bugry/uslugi/priem_metalloloma_priem_chernogo_loma_8022965578","8022965578")</f>
        <v/>
      </c>
    </row>
    <row r="232">
      <c r="A232" s="4" t="inlineStr"/>
      <c r="B232" s="5">
        <f>HYPERLINK("https://www.avito.ru/svetogorsk/uslugi/priem_metalloloma_priem_chernogo_loma_8023006182","Прием металлолома / Прием черного лома")</f>
        <v/>
      </c>
      <c r="C232" s="6" t="inlineStr">
        <is>
          <t>Ленинградская область</t>
        </is>
      </c>
      <c r="D232" s="6" t="inlineStr">
        <is>
          <t>Светогорск</t>
        </is>
      </c>
      <c r="E232" s="7" t="inlineStr">
        <is>
          <t>Светогорск</t>
        </is>
      </c>
      <c r="F232" s="6" t="inlineStr"/>
      <c r="G232" s="6" t="inlineStr"/>
      <c r="H232" s="8">
        <f>HYPERLINK("https://www.avito.ru/svetogorsk/uslugi/priem_metalloloma_priem_chernogo_loma_8023006182","8023006182")</f>
        <v/>
      </c>
    </row>
    <row r="233">
      <c r="A233" s="4" t="inlineStr"/>
      <c r="B233" s="5">
        <f>HYPERLINK("https://www.avito.ru/novoe_devyatkino/uslugi/priem_metalloloma_priem_chernogo_loma_8023008151","Прием металлолома / Прием черного лома")</f>
        <v/>
      </c>
      <c r="C233" s="6" t="inlineStr">
        <is>
          <t>Ленинградская область</t>
        </is>
      </c>
      <c r="D233" s="6" t="inlineStr">
        <is>
          <t>Новое Девяткино</t>
        </is>
      </c>
      <c r="E233" s="7" t="inlineStr">
        <is>
          <t>д. Новое Девяткино, Главная ул., 48</t>
        </is>
      </c>
      <c r="F233" s="6" t="inlineStr"/>
      <c r="G233" s="6" t="inlineStr"/>
      <c r="H233" s="8">
        <f>HYPERLINK("https://www.avito.ru/novoe_devyatkino/uslugi/priem_metalloloma_priem_chernogo_loma_8023008151","8023008151")</f>
        <v/>
      </c>
    </row>
    <row r="234">
      <c r="A234" s="4" t="inlineStr"/>
      <c r="B234" s="5">
        <f>HYPERLINK("https://www.avito.ru/pestovo/uslugi/priem_metalloloma_vyvoz_metalloloma_8023017038","Прием металлолома/ Вывоз металлолома")</f>
        <v/>
      </c>
      <c r="C234" s="6" t="inlineStr">
        <is>
          <t>Новгородская область</t>
        </is>
      </c>
      <c r="D234" s="6" t="inlineStr">
        <is>
          <t>Пестово</t>
        </is>
      </c>
      <c r="E234" s="7" t="inlineStr">
        <is>
          <t>Пестово, Луговая ул., 4</t>
        </is>
      </c>
      <c r="F234" s="6" t="inlineStr"/>
      <c r="G234" s="6" t="inlineStr"/>
      <c r="H234" s="8">
        <f>HYPERLINK("https://www.avito.ru/pestovo/uslugi/priem_metalloloma_vyvoz_metalloloma_8023017038","8023017038")</f>
        <v/>
      </c>
    </row>
    <row r="235">
      <c r="A235" s="4" t="inlineStr"/>
      <c r="B235" s="5">
        <f>HYPERLINK("https://www.avito.ru/leningradskaya_oblast_otradnoe/uslugi/priem_loma_tsvetnyh_metallov_8023026756","Прием лома цветных металлов")</f>
        <v/>
      </c>
      <c r="C235" s="6" t="inlineStr">
        <is>
          <t>Ленинградская область</t>
        </is>
      </c>
      <c r="D235" s="6" t="inlineStr">
        <is>
          <t>Отрадное</t>
        </is>
      </c>
      <c r="E235" s="7" t="inlineStr">
        <is>
          <t>Отрадное, Заводская ул., 1А</t>
        </is>
      </c>
      <c r="F235" s="6" t="inlineStr"/>
      <c r="G235" s="6" t="inlineStr"/>
      <c r="H235" s="8">
        <f>HYPERLINK("https://www.avito.ru/leningradskaya_oblast_otradnoe/uslugi/priem_loma_tsvetnyh_metallov_8023026756","8023026756")</f>
        <v/>
      </c>
    </row>
    <row r="236">
      <c r="A236" s="4" t="inlineStr"/>
      <c r="B236" s="5">
        <f>HYPERLINK("https://www.avito.ru/leningradskaya_oblast_primorsk/uslugi/priem_metalloloma_priem_chernogo_loma_8023035534","Прием металлолома / Прием черного лома")</f>
        <v/>
      </c>
      <c r="C236" s="6" t="inlineStr">
        <is>
          <t>Ленинградская область</t>
        </is>
      </c>
      <c r="D236" s="6" t="inlineStr">
        <is>
          <t>Приморск</t>
        </is>
      </c>
      <c r="E236" s="7" t="inlineStr">
        <is>
          <t>Приморск, наб. Лебедева</t>
        </is>
      </c>
      <c r="F236" s="6" t="inlineStr"/>
      <c r="G236" s="6" t="inlineStr"/>
      <c r="H236" s="8">
        <f>HYPERLINK("https://www.avito.ru/leningradskaya_oblast_primorsk/uslugi/priem_metalloloma_priem_chernogo_loma_8023035534","8023035534")</f>
        <v/>
      </c>
    </row>
    <row r="237">
      <c r="A237" s="4" t="inlineStr"/>
      <c r="B237" s="5">
        <f>HYPERLINK("https://www.avito.ru/pikalevo/uslugi/priem_i_vyvoz_metalloloma_samovyvoz_loma_8023056151","Прием и вывоз металлолома / Самовывоз лома")</f>
        <v/>
      </c>
      <c r="C237" s="6" t="inlineStr">
        <is>
          <t>Ленинградская область</t>
        </is>
      </c>
      <c r="D237" s="6" t="inlineStr">
        <is>
          <t>Пикалево</t>
        </is>
      </c>
      <c r="E237" s="7" t="inlineStr">
        <is>
          <t>Пикалёво, Советская ул.</t>
        </is>
      </c>
      <c r="F237" s="6" t="inlineStr"/>
      <c r="G237" s="6" t="inlineStr"/>
      <c r="H237" s="8">
        <f>HYPERLINK("https://www.avito.ru/pikalevo/uslugi/priem_i_vyvoz_metalloloma_samovyvoz_loma_8023056151","8023056151")</f>
        <v/>
      </c>
    </row>
    <row r="238">
      <c r="A238" s="4" t="inlineStr"/>
      <c r="B238" s="5">
        <f>HYPERLINK("https://www.avito.ru/kamennogorsk/uslugi/priem_tsvetnogo_metalloloma_8023067467","Прием цветного металлолома")</f>
        <v/>
      </c>
      <c r="C238" s="6" t="inlineStr">
        <is>
          <t>Ленинградская область</t>
        </is>
      </c>
      <c r="D238" s="6" t="inlineStr">
        <is>
          <t>Каменногорск</t>
        </is>
      </c>
      <c r="E238" s="7" t="inlineStr">
        <is>
          <t>Каменногорск, Ленинградское ш.</t>
        </is>
      </c>
      <c r="F238" s="6" t="inlineStr"/>
      <c r="G238" s="6" t="inlineStr"/>
      <c r="H238" s="8">
        <f>HYPERLINK("https://www.avito.ru/kamennogorsk/uslugi/priem_tsvetnogo_metalloloma_8023067467","8023067467")</f>
        <v/>
      </c>
    </row>
    <row r="239">
      <c r="A239" s="4" t="inlineStr"/>
      <c r="B239" s="5">
        <f>HYPERLINK("https://www.avito.ru/gostilitsy/uslugi/priem_i_vyvoz_metalloloma_samovyvoz_loma_8023104068","Прием и вывоз металлолома / Самовывоз лома")</f>
        <v/>
      </c>
      <c r="C239" s="6" t="inlineStr">
        <is>
          <t>Ленинградская область</t>
        </is>
      </c>
      <c r="D239" s="6" t="inlineStr">
        <is>
          <t>Гостилицы</t>
        </is>
      </c>
      <c r="E239" s="7" t="inlineStr">
        <is>
          <t>д. Оржицы</t>
        </is>
      </c>
      <c r="F239" s="6" t="inlineStr"/>
      <c r="G239" s="6" t="inlineStr"/>
      <c r="H239" s="8">
        <f>HYPERLINK("https://www.avito.ru/gostilitsy/uslugi/priem_i_vyvoz_metalloloma_samovyvoz_loma_8023104068","8023104068")</f>
        <v/>
      </c>
    </row>
    <row r="240">
      <c r="A240" s="4" t="inlineStr"/>
      <c r="B240" s="5">
        <f>HYPERLINK("https://www.avito.ru/kamennogorsk/uslugi/priem_metalla_demontazh_priem_metalloloma_8023119990","Прием металла / Демонтаж / Прием металлолома")</f>
        <v/>
      </c>
      <c r="C240" s="6" t="inlineStr">
        <is>
          <t>Ленинградская область</t>
        </is>
      </c>
      <c r="D240" s="6" t="inlineStr">
        <is>
          <t>Каменногорск</t>
        </is>
      </c>
      <c r="E240" s="7" t="inlineStr">
        <is>
          <t>Каменногорск, Ленинградское ш.</t>
        </is>
      </c>
      <c r="F240" s="6" t="inlineStr"/>
      <c r="G240" s="6" t="inlineStr"/>
      <c r="H240" s="8">
        <f>HYPERLINK("https://www.avito.ru/kamennogorsk/uslugi/priem_metalla_demontazh_priem_metalloloma_8023119990","8023119990")</f>
        <v/>
      </c>
    </row>
    <row r="241">
      <c r="A241" s="4" t="inlineStr"/>
      <c r="B241" s="5">
        <f>HYPERLINK("https://www.avito.ru/yanino-1/uslugi/priem_metalloloma_priem_tsvetnogo_loma_8023124809","Прием металлолома / Прием цветного лома")</f>
        <v/>
      </c>
      <c r="C241" s="6" t="inlineStr">
        <is>
          <t>Ленинградская область</t>
        </is>
      </c>
      <c r="D241" s="6" t="inlineStr">
        <is>
          <t>Янино-1</t>
        </is>
      </c>
      <c r="E241" s="7" t="inlineStr">
        <is>
          <t>городской пос. Янино-1, Кольцевая ул., 3</t>
        </is>
      </c>
      <c r="F241" s="6" t="inlineStr"/>
      <c r="G241" s="6" t="inlineStr"/>
      <c r="H241" s="8">
        <f>HYPERLINK("https://www.avito.ru/yanino-1/uslugi/priem_metalloloma_priem_tsvetnogo_loma_8023124809","8023124809")</f>
        <v/>
      </c>
    </row>
    <row r="242">
      <c r="A242" s="4" t="inlineStr"/>
      <c r="B242" s="5">
        <f>HYPERLINK("https://www.avito.ru/krasnaya_dolina/uslugi/priem_metalla_sdat_lom_vyvoz_loma_8023144174","Приём металла /Сдать лом / Вывоз лома")</f>
        <v/>
      </c>
      <c r="C242" s="6" t="inlineStr">
        <is>
          <t>Ленинградская область</t>
        </is>
      </c>
      <c r="D242" s="6" t="inlineStr">
        <is>
          <t>Красная Долина</t>
        </is>
      </c>
      <c r="E242" s="7" t="inlineStr">
        <is>
          <t>пос. Красная Долина, Центральное ш.</t>
        </is>
      </c>
      <c r="F242" s="6" t="inlineStr"/>
      <c r="G242" s="6" t="inlineStr"/>
      <c r="H242" s="8">
        <f>HYPERLINK("https://www.avito.ru/krasnaya_dolina/uslugi/priem_metalla_sdat_lom_vyvoz_loma_8023144174","8023144174")</f>
        <v/>
      </c>
    </row>
    <row r="243">
      <c r="A243" s="4" t="inlineStr"/>
      <c r="B243" s="5">
        <f>HYPERLINK("https://www.avito.ru/sankt-peterburg/uslugi/priem_metalloloma_priem_chernogo_loma_opt_8023153196","Прием металлолома / Прием черного лома опт")</f>
        <v/>
      </c>
      <c r="C243" s="6" t="inlineStr"/>
      <c r="D243" s="6" t="inlineStr">
        <is>
          <t>Санкт-Петербург</t>
        </is>
      </c>
      <c r="E243" s="7" t="inlineStr">
        <is>
          <t>Санкт-Петербург, Дворцовая пл.</t>
        </is>
      </c>
      <c r="F243" s="6" t="inlineStr"/>
      <c r="G243" s="6" t="inlineStr"/>
      <c r="H243" s="8">
        <f>HYPERLINK("https://www.avito.ru/sankt-peterburg/uslugi/priem_metalloloma_priem_chernogo_loma_opt_8023153196","8023153196")</f>
        <v/>
      </c>
    </row>
    <row r="244">
      <c r="A244" s="4" t="inlineStr"/>
      <c r="B244" s="5">
        <f>HYPERLINK("https://www.avito.ru/novoselie/uslugi/priem_loma_priem_tsvetnogo_loma_priem_chermeta_8023160412","Прием лома / Прием цветного лома / Прием чермета")</f>
        <v/>
      </c>
      <c r="C244" s="6" t="inlineStr">
        <is>
          <t>Ленинградская область</t>
        </is>
      </c>
      <c r="D244" s="6" t="inlineStr">
        <is>
          <t>Новоселье</t>
        </is>
      </c>
      <c r="E244" s="7" t="inlineStr">
        <is>
          <t>городской пос. Новоселье, Красносельское ш.</t>
        </is>
      </c>
      <c r="F244" s="6" t="inlineStr"/>
      <c r="G244" s="6" t="inlineStr"/>
      <c r="H244" s="8">
        <f>HYPERLINK("https://www.avito.ru/novoselie/uslugi/priem_loma_priem_tsvetnogo_loma_priem_chermeta_8023160412","8023160412")</f>
        <v/>
      </c>
    </row>
    <row r="245">
      <c r="A245" s="4" t="inlineStr"/>
      <c r="B245" s="5">
        <f>HYPERLINK("https://www.avito.ru/syasstroy/uslugi/priem_metalloloma_priem_chernogo_loma_opt_8023160441","Прием металлолома / Прием черного лома опт")</f>
        <v/>
      </c>
      <c r="C245" s="6" t="inlineStr">
        <is>
          <t>Ленинградская область</t>
        </is>
      </c>
      <c r="D245" s="6" t="inlineStr">
        <is>
          <t>Сясьстрой</t>
        </is>
      </c>
      <c r="E245" s="7" t="inlineStr">
        <is>
          <t>Сясьстрой, Петрозаводская ул., 34</t>
        </is>
      </c>
      <c r="F245" s="6" t="inlineStr"/>
      <c r="G245" s="6" t="inlineStr"/>
      <c r="H245" s="8">
        <f>HYPERLINK("https://www.avito.ru/syasstroy/uslugi/priem_metalloloma_priem_chernogo_loma_opt_8023160441","8023160441")</f>
        <v/>
      </c>
    </row>
    <row r="246">
      <c r="A246" s="4" t="inlineStr"/>
      <c r="B246" s="5">
        <f>HYPERLINK("https://www.avito.ru/leningradskaya_oblast_otradnoe/uslugi/priem_loma_priem_tsvetnogo_loma_priem_chermeta_8023190373","Прием лома / Прием цветного лома / Прием чермета")</f>
        <v/>
      </c>
      <c r="C246" s="6" t="inlineStr">
        <is>
          <t>Ленинградская область</t>
        </is>
      </c>
      <c r="D246" s="6" t="inlineStr">
        <is>
          <t>Отрадное</t>
        </is>
      </c>
      <c r="E246" s="7" t="inlineStr">
        <is>
          <t>Отрадное, Заводская ул., 1А</t>
        </is>
      </c>
      <c r="F246" s="6" t="inlineStr"/>
      <c r="G246" s="6" t="inlineStr"/>
      <c r="H246" s="8">
        <f>HYPERLINK("https://www.avito.ru/leningradskaya_oblast_otradnoe/uslugi/priem_loma_priem_tsvetnogo_loma_priem_chermeta_8023190373","8023190373")</f>
        <v/>
      </c>
    </row>
    <row r="247">
      <c r="A247" s="4" t="inlineStr"/>
      <c r="B247" s="5">
        <f>HYPERLINK("https://www.avito.ru/voloshovo/uslugi/priem_tsvetnogo_metalloloma_8023193329","Прием цветного металлолома")</f>
        <v/>
      </c>
      <c r="C247" s="6" t="inlineStr">
        <is>
          <t>Ленинградская область</t>
        </is>
      </c>
      <c r="D247" s="6" t="inlineStr">
        <is>
          <t>Волошово</t>
        </is>
      </c>
      <c r="E247" s="7" t="inlineStr">
        <is>
          <t>пос. Волошово, Школьная ул.</t>
        </is>
      </c>
      <c r="F247" s="6" t="inlineStr"/>
      <c r="G247" s="6" t="inlineStr"/>
      <c r="H247" s="8">
        <f>HYPERLINK("https://www.avito.ru/voloshovo/uslugi/priem_tsvetnogo_metalloloma_8023193329","8023193329")</f>
        <v/>
      </c>
    </row>
    <row r="248">
      <c r="A248" s="4" t="inlineStr"/>
      <c r="B248" s="5">
        <f>HYPERLINK("https://www.avito.ru/kommynary/uslugi/priem_metalloloma_skupka_metalla_8023196052","Прием металлолома / Скупка металла")</f>
        <v/>
      </c>
      <c r="C248" s="6" t="inlineStr">
        <is>
          <t>Ленинградская область</t>
        </is>
      </c>
      <c r="D248" s="6" t="inlineStr">
        <is>
          <t>Коммунары</t>
        </is>
      </c>
      <c r="E248" s="7" t="inlineStr">
        <is>
          <t>пос. Коммунары, Центральная ул.</t>
        </is>
      </c>
      <c r="F248" s="6" t="inlineStr"/>
      <c r="G248" s="6" t="inlineStr"/>
      <c r="H248" s="8">
        <f>HYPERLINK("https://www.avito.ru/kommynary/uslugi/priem_metalloloma_skupka_metalla_8023196052","8023196052")</f>
        <v/>
      </c>
    </row>
    <row r="249">
      <c r="A249" s="4" t="inlineStr"/>
      <c r="B249" s="5">
        <f>HYPERLINK("https://www.avito.ru/novoselie/uslugi/priem_loma_tsvetnyh_metallov_8023271885","Прием лома цветных металлов")</f>
        <v/>
      </c>
      <c r="C249" s="6" t="inlineStr">
        <is>
          <t>Ленинградская область</t>
        </is>
      </c>
      <c r="D249" s="6" t="inlineStr">
        <is>
          <t>Новоселье</t>
        </is>
      </c>
      <c r="E249" s="7" t="inlineStr">
        <is>
          <t>городской пос. Новоселье, Красносельское ш.</t>
        </is>
      </c>
      <c r="F249" s="6" t="inlineStr"/>
      <c r="G249" s="6" t="inlineStr"/>
      <c r="H249" s="8">
        <f>HYPERLINK("https://www.avito.ru/novoselie/uslugi/priem_loma_tsvetnyh_metallov_8023271885","8023271885")</f>
        <v/>
      </c>
    </row>
    <row r="250">
      <c r="A250" s="4" t="inlineStr"/>
      <c r="B250" s="5">
        <f>HYPERLINK("https://www.avito.ru/sankt-peterburg/uslugi/priem_metalloloma_skupka_metalla_8023272261","Прием металлолома / Скупка металла")</f>
        <v/>
      </c>
      <c r="C250" s="6" t="inlineStr"/>
      <c r="D250" s="6" t="inlineStr">
        <is>
          <t>Санкт-Петербург</t>
        </is>
      </c>
      <c r="E250" s="7" t="inlineStr">
        <is>
          <t>Санкт-Петербург, пр-т Стачек, 70</t>
        </is>
      </c>
      <c r="F250" s="6" t="inlineStr"/>
      <c r="G250" s="6" t="inlineStr"/>
      <c r="H250" s="8">
        <f>HYPERLINK("https://www.avito.ru/sankt-peterburg/uslugi/priem_metalloloma_skupka_metalla_8023272261","8023272261")</f>
        <v/>
      </c>
    </row>
    <row r="251">
      <c r="A251" s="4" t="inlineStr"/>
      <c r="B251" s="5">
        <f>HYPERLINK("https://www.avito.ru/sankt-peterburg/uslugi/priem_metalloloma_priem_chernogo_loma_8023277910","Прием металлолома / Прием черного лома")</f>
        <v/>
      </c>
      <c r="C251" s="6" t="inlineStr"/>
      <c r="D251" s="6" t="inlineStr">
        <is>
          <t>Санкт-Петербург</t>
        </is>
      </c>
      <c r="E251" s="7" t="inlineStr">
        <is>
          <t>Санкт-Петербург, пр-т Стачек, 70</t>
        </is>
      </c>
      <c r="F251" s="6" t="inlineStr"/>
      <c r="G251" s="6" t="inlineStr"/>
      <c r="H251" s="8">
        <f>HYPERLINK("https://www.avito.ru/sankt-peterburg/uslugi/priem_metalloloma_priem_chernogo_loma_8023277910","8023277910")</f>
        <v/>
      </c>
    </row>
    <row r="252">
      <c r="A252" s="4" t="inlineStr"/>
      <c r="B252" s="5">
        <f>HYPERLINK("https://www.avito.ru/sankt-peterburg/uslugi/priem_tsvetnogo_metalloloma_8023304020","Прием цветного металлолома")</f>
        <v/>
      </c>
      <c r="C252" s="6" t="inlineStr"/>
      <c r="D252" s="6" t="inlineStr">
        <is>
          <t>Санкт-Петербург</t>
        </is>
      </c>
      <c r="E252" s="7" t="inlineStr">
        <is>
          <t>Санкт-Петербург, Московская пл.</t>
        </is>
      </c>
      <c r="F252" s="6" t="inlineStr"/>
      <c r="G252" s="6" t="inlineStr"/>
      <c r="H252" s="8">
        <f>HYPERLINK("https://www.avito.ru/sankt-peterburg/uslugi/priem_tsvetnogo_metalloloma_8023304020","8023304020")</f>
        <v/>
      </c>
    </row>
    <row r="253">
      <c r="A253" s="4" t="inlineStr"/>
      <c r="B253" s="5">
        <f>HYPERLINK("https://www.avito.ru/ivangorod/uslugi/priem_metalloloma_priem_chernogo_loma_8023326634","Прием металлолома / Прием черного лома")</f>
        <v/>
      </c>
      <c r="C253" s="6" t="inlineStr">
        <is>
          <t>Ленинградская область</t>
        </is>
      </c>
      <c r="D253" s="6" t="inlineStr">
        <is>
          <t>Ивангород</t>
        </is>
      </c>
      <c r="E253" s="7" t="inlineStr">
        <is>
          <t>Ивангород, Кингисеппское ш.</t>
        </is>
      </c>
      <c r="F253" s="6" t="inlineStr"/>
      <c r="G253" s="6" t="inlineStr"/>
      <c r="H253" s="8">
        <f>HYPERLINK("https://www.avito.ru/ivangorod/uslugi/priem_metalloloma_priem_chernogo_loma_8023326634","8023326634")</f>
        <v/>
      </c>
    </row>
    <row r="254">
      <c r="A254" s="4" t="inlineStr"/>
      <c r="B254" s="5">
        <f>HYPERLINK("https://www.avito.ru/staraya/uslugi/priem_tsvetnogo_metalloloma_8023354125","Прием цветного металлолома")</f>
        <v/>
      </c>
      <c r="C254" s="6" t="inlineStr">
        <is>
          <t>Ленинградская область</t>
        </is>
      </c>
      <c r="D254" s="6" t="inlineStr">
        <is>
          <t>Старая</t>
        </is>
      </c>
      <c r="E254" s="7" t="inlineStr">
        <is>
          <t>Колтуши, Новосергиевский пр., 5Б</t>
        </is>
      </c>
      <c r="F254" s="6" t="inlineStr"/>
      <c r="G254" s="6" t="inlineStr"/>
      <c r="H254" s="8">
        <f>HYPERLINK("https://www.avito.ru/staraya/uslugi/priem_tsvetnogo_metalloloma_8023354125","8023354125")</f>
        <v/>
      </c>
    </row>
    <row r="255">
      <c r="A255" s="4" t="inlineStr"/>
      <c r="B255" s="5">
        <f>HYPERLINK("https://www.avito.ru/syasstroy/uslugi/priem_tsvetnogo_metalloloma_8023362023","Прием цветного металлолома")</f>
        <v/>
      </c>
      <c r="C255" s="6" t="inlineStr">
        <is>
          <t>Ленинградская область</t>
        </is>
      </c>
      <c r="D255" s="6" t="inlineStr">
        <is>
          <t>Сясьстрой</t>
        </is>
      </c>
      <c r="E255" s="7" t="inlineStr">
        <is>
          <t>Сясьстрой, Петрозаводская ул., 34</t>
        </is>
      </c>
      <c r="F255" s="6" t="inlineStr"/>
      <c r="G255" s="6" t="inlineStr"/>
      <c r="H255" s="8">
        <f>HYPERLINK("https://www.avito.ru/syasstroy/uslugi/priem_tsvetnogo_metalloloma_8023362023","8023362023")</f>
        <v/>
      </c>
    </row>
    <row r="256">
      <c r="A256" s="4" t="inlineStr"/>
      <c r="B256" s="5">
        <f>HYPERLINK("https://www.avito.ru/bugry/uslugi/priem_metalloloma_priem_tsvetnogo_loma_8023367574","Прием металлолома / Прием цветного лома")</f>
        <v/>
      </c>
      <c r="C256" s="6" t="inlineStr">
        <is>
          <t>Ленинградская область</t>
        </is>
      </c>
      <c r="D256" s="6" t="inlineStr">
        <is>
          <t>Бугры</t>
        </is>
      </c>
      <c r="E256" s="7" t="inlineStr">
        <is>
          <t>Бугры, Шоссейная ул., 35Вк1</t>
        </is>
      </c>
      <c r="F256" s="6" t="inlineStr"/>
      <c r="G256" s="6" t="inlineStr"/>
      <c r="H256" s="8">
        <f>HYPERLINK("https://www.avito.ru/bugry/uslugi/priem_metalloloma_priem_tsvetnogo_loma_8023367574","8023367574")</f>
        <v/>
      </c>
    </row>
    <row r="257">
      <c r="A257" s="4" t="inlineStr"/>
      <c r="B257" s="5">
        <f>HYPERLINK("https://www.avito.ru/volosovo/uslugi/priem_metalloloma_priem_chernogo_loma_8023374737","Прием металлолома / Прием черного лома")</f>
        <v/>
      </c>
      <c r="C257" s="6" t="inlineStr">
        <is>
          <t>Ленинградская область</t>
        </is>
      </c>
      <c r="D257" s="6" t="inlineStr">
        <is>
          <t>Волосово</t>
        </is>
      </c>
      <c r="E257" s="7" t="inlineStr">
        <is>
          <t>Волосово, ул. Восстания, 6</t>
        </is>
      </c>
      <c r="F257" s="6" t="inlineStr"/>
      <c r="G257" s="6" t="inlineStr"/>
      <c r="H257" s="8">
        <f>HYPERLINK("https://www.avito.ru/volosovo/uslugi/priem_metalloloma_priem_chernogo_loma_8023374737","8023374737")</f>
        <v/>
      </c>
    </row>
    <row r="258">
      <c r="A258" s="4" t="inlineStr"/>
      <c r="B258" s="5">
        <f>HYPERLINK("https://www.avito.ru/vytegra/uslugi/priem_i_vyvoz_metalloloma_samovyvoz_loma_8023399423","Прием и вывоз металлолома / Самовывоз лома")</f>
        <v/>
      </c>
      <c r="C258" s="6" t="inlineStr">
        <is>
          <t>Вологодская область</t>
        </is>
      </c>
      <c r="D258" s="6" t="inlineStr">
        <is>
          <t>Вытегра</t>
        </is>
      </c>
      <c r="E258" s="7" t="inlineStr">
        <is>
          <t>Вытегра, Вологодская ул., 1</t>
        </is>
      </c>
      <c r="F258" s="6" t="inlineStr"/>
      <c r="G258" s="6" t="inlineStr"/>
      <c r="H258" s="8">
        <f>HYPERLINK("https://www.avito.ru/vytegra/uslugi/priem_i_vyvoz_metalloloma_samovyvoz_loma_8023399423","8023399423")</f>
        <v/>
      </c>
    </row>
    <row r="259">
      <c r="A259" s="4" t="inlineStr"/>
      <c r="B259" s="5">
        <f>HYPERLINK("https://www.avito.ru/leningradskaya_oblast_kommunar/uslugi/priem_metalloloma_priem_tsvetnogo_loma_8023404480","Прием металлолома / Прием цветного лома")</f>
        <v/>
      </c>
      <c r="C259" s="6" t="inlineStr">
        <is>
          <t>Ленинградская область</t>
        </is>
      </c>
      <c r="D259" s="6" t="inlineStr">
        <is>
          <t>Коммунар</t>
        </is>
      </c>
      <c r="E259" s="7" t="inlineStr">
        <is>
          <t>Коммунар, Железнодорожная ул., 6А</t>
        </is>
      </c>
      <c r="F259" s="6" t="inlineStr"/>
      <c r="G259" s="6" t="inlineStr"/>
      <c r="H259" s="8">
        <f>HYPERLINK("https://www.avito.ru/leningradskaya_oblast_kommunar/uslugi/priem_metalloloma_priem_tsvetnogo_loma_8023404480","8023404480")</f>
        <v/>
      </c>
    </row>
    <row r="260">
      <c r="A260" s="4" t="inlineStr"/>
      <c r="B260" s="5">
        <f>HYPERLINK("https://www.avito.ru/novaya_ladoga/uslugi/priem_metalla_demontazh_priem_metalloloma_8023445835","Прием металла / Демонтаж / Прием металлолома")</f>
        <v/>
      </c>
      <c r="C260" s="6" t="inlineStr">
        <is>
          <t>Ленинградская область</t>
        </is>
      </c>
      <c r="D260" s="6" t="inlineStr">
        <is>
          <t>Новая Ладога</t>
        </is>
      </c>
      <c r="E260" s="7" t="inlineStr">
        <is>
          <t>Новая Ладога, ул. Суворова, 53</t>
        </is>
      </c>
      <c r="F260" s="6" t="inlineStr"/>
      <c r="G260" s="6" t="inlineStr"/>
      <c r="H260" s="8">
        <f>HYPERLINK("https://www.avito.ru/novaya_ladoga/uslugi/priem_metalla_demontazh_priem_metalloloma_8023445835","8023445835")</f>
        <v/>
      </c>
    </row>
    <row r="261">
      <c r="A261" s="4" t="inlineStr"/>
      <c r="B261" s="5">
        <f>HYPERLINK("https://www.avito.ru/bugry/uslugi/priem_i_vyvoz_metalloloma_priem_redkih_metallov_8023448280","Прием и вывоз металлолома / Прием редких металлов")</f>
        <v/>
      </c>
      <c r="C261" s="6" t="inlineStr">
        <is>
          <t>Ленинградская область</t>
        </is>
      </c>
      <c r="D261" s="6" t="inlineStr">
        <is>
          <t>Бугры</t>
        </is>
      </c>
      <c r="E261" s="7" t="inlineStr">
        <is>
          <t>Бугры, Шоссейная ул., 35Вк1</t>
        </is>
      </c>
      <c r="F261" s="6" t="inlineStr"/>
      <c r="G261" s="6" t="inlineStr"/>
      <c r="H261" s="8">
        <f>HYPERLINK("https://www.avito.ru/bugry/uslugi/priem_i_vyvoz_metalloloma_priem_redkih_metallov_8023448280","8023448280")</f>
        <v/>
      </c>
    </row>
    <row r="262">
      <c r="A262" s="4" t="inlineStr"/>
      <c r="B262" s="5">
        <f>HYPERLINK("https://www.avito.ru/kipen/uslugi/priem_metalloloma_priem_chernogo_loma_opt_8023449487","Прием металлолома / Прием черного лома опт")</f>
        <v/>
      </c>
      <c r="C262" s="6" t="inlineStr">
        <is>
          <t>Ленинградская область</t>
        </is>
      </c>
      <c r="D262" s="6" t="inlineStr">
        <is>
          <t>Кипень</t>
        </is>
      </c>
      <c r="E262" s="7" t="inlineStr">
        <is>
          <t>д. Кипень, Ропшинское ш., 66</t>
        </is>
      </c>
      <c r="F262" s="6" t="inlineStr"/>
      <c r="G262" s="6" t="inlineStr"/>
      <c r="H262" s="8">
        <f>HYPERLINK("https://www.avito.ru/kipen/uslugi/priem_metalloloma_priem_chernogo_loma_opt_8023449487","8023449487")</f>
        <v/>
      </c>
    </row>
    <row r="263">
      <c r="A263" s="4" t="inlineStr"/>
      <c r="B263" s="5">
        <f>HYPERLINK("https://www.avito.ru/sankt-peterburg/uslugi/priem_metalloloma_priem_loma_demontazh_8023455841","Прием металлолома / Прием лома / Демонтаж")</f>
        <v/>
      </c>
      <c r="C263" s="6" t="inlineStr"/>
      <c r="D263" s="6" t="inlineStr">
        <is>
          <t>Санкт-Петербург</t>
        </is>
      </c>
      <c r="E263" s="7" t="inlineStr">
        <is>
          <t>Санкт-Петербург, Бухарестская ул.</t>
        </is>
      </c>
      <c r="F263" s="6" t="inlineStr"/>
      <c r="G263" s="6" t="inlineStr"/>
      <c r="H263" s="8">
        <f>HYPERLINK("https://www.avito.ru/sankt-peterburg/uslugi/priem_metalloloma_priem_loma_demontazh_8023455841","8023455841")</f>
        <v/>
      </c>
    </row>
    <row r="264">
      <c r="A264" s="4" t="inlineStr"/>
      <c r="B264" s="5">
        <f>HYPERLINK("https://www.avito.ru/krasnaya_dolina/uslugi/priem_tsvetnogo_metalloloma_8023479592","Прием цветного металлолома")</f>
        <v/>
      </c>
      <c r="C264" s="6" t="inlineStr">
        <is>
          <t>Ленинградская область</t>
        </is>
      </c>
      <c r="D264" s="6" t="inlineStr">
        <is>
          <t>Красная Долина</t>
        </is>
      </c>
      <c r="E264" s="7" t="inlineStr">
        <is>
          <t>пос. Красная Долина, Центральное ш.</t>
        </is>
      </c>
      <c r="F264" s="6" t="inlineStr"/>
      <c r="G264" s="6" t="inlineStr"/>
      <c r="H264" s="8">
        <f>HYPERLINK("https://www.avito.ru/krasnaya_dolina/uslugi/priem_tsvetnogo_metalloloma_8023479592","8023479592")</f>
        <v/>
      </c>
    </row>
    <row r="265">
      <c r="A265" s="4" t="inlineStr"/>
      <c r="B265" s="5">
        <f>HYPERLINK("https://www.avito.ru/sankt-peterburg/uslugi/priem_metalloloma_vyvoz_metalloloma_8023484841","Прием металлолома/ Вывоз металлолома")</f>
        <v/>
      </c>
      <c r="C265" s="6" t="inlineStr"/>
      <c r="D265" s="6" t="inlineStr">
        <is>
          <t>Санкт-Петербург</t>
        </is>
      </c>
      <c r="E265" s="7" t="inlineStr">
        <is>
          <t>Санкт-Петербург, пр-т Просвещения, 19</t>
        </is>
      </c>
      <c r="F265" s="6" t="inlineStr"/>
      <c r="G265" s="6" t="inlineStr"/>
      <c r="H265" s="8">
        <f>HYPERLINK("https://www.avito.ru/sankt-peterburg/uslugi/priem_metalloloma_vyvoz_metalloloma_8023484841","8023484841")</f>
        <v/>
      </c>
    </row>
    <row r="266">
      <c r="A266" s="4" t="inlineStr"/>
      <c r="B266" s="5">
        <f>HYPERLINK("https://www.avito.ru/leningradskaya_oblast_lebyazhe/uslugi/priem_metalloloma_priem_chernogo_loma_8023534145","Прием металлолома / Прием черного лома")</f>
        <v/>
      </c>
      <c r="C266" s="6" t="inlineStr">
        <is>
          <t>Ленинградская область</t>
        </is>
      </c>
      <c r="D266" s="6" t="inlineStr">
        <is>
          <t>Лебяжье</t>
        </is>
      </c>
      <c r="E266" s="7" t="inlineStr">
        <is>
          <t>городской пос. Лебяжье, Строительная ул., 10</t>
        </is>
      </c>
      <c r="F266" s="6" t="inlineStr"/>
      <c r="G266" s="6" t="inlineStr"/>
      <c r="H266" s="8">
        <f>HYPERLINK("https://www.avito.ru/leningradskaya_oblast_lebyazhe/uslugi/priem_metalloloma_priem_chernogo_loma_8023534145","8023534145")</f>
        <v/>
      </c>
    </row>
    <row r="267">
      <c r="A267" s="4" t="inlineStr"/>
      <c r="B267" s="5">
        <f>HYPERLINK("https://www.avito.ru/sankt-peterburg/uslugi/priem_metalla_demontazh_priem_metalloloma_8023554142","Прием металла / Демонтаж / Прием металлолома")</f>
        <v/>
      </c>
      <c r="C267" s="6" t="inlineStr"/>
      <c r="D267" s="6" t="inlineStr">
        <is>
          <t>Санкт-Петербург</t>
        </is>
      </c>
      <c r="E267" s="7" t="inlineStr">
        <is>
          <t>Санкт-Петербург, Бухарестская ул.</t>
        </is>
      </c>
      <c r="F267" s="6" t="inlineStr"/>
      <c r="G267" s="6" t="inlineStr"/>
      <c r="H267" s="8">
        <f>HYPERLINK("https://www.avito.ru/sankt-peterburg/uslugi/priem_metalla_demontazh_priem_metalloloma_8023554142","8023554142")</f>
        <v/>
      </c>
    </row>
    <row r="268">
      <c r="A268" s="4" t="inlineStr"/>
      <c r="B268" s="5">
        <f>HYPERLINK("https://www.avito.ru/novoe_devyatkino/uslugi/priem_i_vyvoz_metalloloma_sdat_lom_8023554908","Прием и вывоз металлолома / Сдать лом")</f>
        <v/>
      </c>
      <c r="C268" s="6" t="inlineStr">
        <is>
          <t>Ленинградская область</t>
        </is>
      </c>
      <c r="D268" s="6" t="inlineStr">
        <is>
          <t>Новое Девяткино</t>
        </is>
      </c>
      <c r="E268" s="7" t="inlineStr">
        <is>
          <t>д. Новое Девяткино, Главная ул., 48</t>
        </is>
      </c>
      <c r="F268" s="6" t="inlineStr"/>
      <c r="G268" s="6" t="inlineStr"/>
      <c r="H268" s="8">
        <f>HYPERLINK("https://www.avito.ru/novoe_devyatkino/uslugi/priem_i_vyvoz_metalloloma_sdat_lom_8023554908","8023554908")</f>
        <v/>
      </c>
    </row>
    <row r="269">
      <c r="A269" s="4" t="inlineStr"/>
      <c r="B269" s="5">
        <f>HYPERLINK("https://www.avito.ru/sankt-peterburg/uslugi/priem_metalloloma_priem_chernogo_loma_8023556548","Прием металлолома / Прием черного лома")</f>
        <v/>
      </c>
      <c r="C269" s="6" t="inlineStr"/>
      <c r="D269" s="6" t="inlineStr">
        <is>
          <t>Санкт-Петербург</t>
        </is>
      </c>
      <c r="E269" s="7" t="inlineStr">
        <is>
          <t>Санкт-Петербург, пр-т Науки, 19к1</t>
        </is>
      </c>
      <c r="F269" s="6" t="inlineStr"/>
      <c r="G269" s="6" t="inlineStr"/>
      <c r="H269" s="8">
        <f>HYPERLINK("https://www.avito.ru/sankt-peterburg/uslugi/priem_metalloloma_priem_chernogo_loma_8023556548","8023556548")</f>
        <v/>
      </c>
    </row>
    <row r="270">
      <c r="A270" s="4" t="inlineStr"/>
      <c r="B270" s="5">
        <f>HYPERLINK("https://www.avito.ru/voloshovo/uslugi/priem_metalla_sdat_lom_vyvoz_loma_8023560257","Приём металла /Сдать лом / Вывоз лома")</f>
        <v/>
      </c>
      <c r="C270" s="6" t="inlineStr">
        <is>
          <t>Ленинградская область</t>
        </is>
      </c>
      <c r="D270" s="6" t="inlineStr">
        <is>
          <t>Волошово</t>
        </is>
      </c>
      <c r="E270" s="7" t="inlineStr">
        <is>
          <t>пос. Волошово, Школьная ул.</t>
        </is>
      </c>
      <c r="F270" s="6" t="inlineStr"/>
      <c r="G270" s="6" t="inlineStr"/>
      <c r="H270" s="8">
        <f>HYPERLINK("https://www.avito.ru/voloshovo/uslugi/priem_metalla_sdat_lom_vyvoz_loma_8023560257","8023560257")</f>
        <v/>
      </c>
    </row>
    <row r="271">
      <c r="A271" s="4" t="inlineStr"/>
      <c r="B271" s="5">
        <f>HYPERLINK("https://www.avito.ru/vysotsk/uslugi/priem_tsvetnogo_metalloloma_8023618945","Прием цветного металлолома")</f>
        <v/>
      </c>
      <c r="C271" s="6" t="inlineStr">
        <is>
          <t>Ленинградская область</t>
        </is>
      </c>
      <c r="D271" s="6" t="inlineStr">
        <is>
          <t>Высоцк</t>
        </is>
      </c>
      <c r="E271" s="7" t="inlineStr">
        <is>
          <t>Высоцк, Центральная ул.</t>
        </is>
      </c>
      <c r="F271" s="6" t="inlineStr"/>
      <c r="G271" s="6" t="inlineStr"/>
      <c r="H271" s="8">
        <f>HYPERLINK("https://www.avito.ru/vysotsk/uslugi/priem_tsvetnogo_metalloloma_8023618945","8023618945")</f>
        <v/>
      </c>
    </row>
    <row r="272">
      <c r="A272" s="4" t="inlineStr"/>
      <c r="B272" s="5">
        <f>HYPERLINK("https://www.avito.ru/svetogorsk/uslugi/priem_metalloloma_skupka_metalla_8023622866","Прием металлолома / Скупка металла")</f>
        <v/>
      </c>
      <c r="C272" s="6" t="inlineStr">
        <is>
          <t>Ленинградская область</t>
        </is>
      </c>
      <c r="D272" s="6" t="inlineStr">
        <is>
          <t>Светогорск</t>
        </is>
      </c>
      <c r="E272" s="7" t="inlineStr">
        <is>
          <t>Светогорск</t>
        </is>
      </c>
      <c r="F272" s="6" t="inlineStr"/>
      <c r="G272" s="6" t="inlineStr"/>
      <c r="H272" s="8">
        <f>HYPERLINK("https://www.avito.ru/svetogorsk/uslugi/priem_metalloloma_skupka_metalla_8023622866","8023622866")</f>
        <v/>
      </c>
    </row>
    <row r="273">
      <c r="A273" s="4" t="inlineStr"/>
      <c r="B273" s="5">
        <f>HYPERLINK("https://www.avito.ru/leningradskaya_oblast_kirovsk/uslugi/priem_metalloloma_priem_chernogo_loma_opt_8023645741","Прием металлолома / Прием черного лома опт")</f>
        <v/>
      </c>
      <c r="C273" s="6" t="inlineStr">
        <is>
          <t>Ленинградская область</t>
        </is>
      </c>
      <c r="D273" s="6" t="inlineStr">
        <is>
          <t>Кировск</t>
        </is>
      </c>
      <c r="E273" s="7" t="inlineStr">
        <is>
          <t>Кировск, Северная ул., 1В</t>
        </is>
      </c>
      <c r="F273" s="6" t="inlineStr"/>
      <c r="G273" s="6" t="inlineStr"/>
      <c r="H273" s="8">
        <f>HYPERLINK("https://www.avito.ru/leningradskaya_oblast_kirovsk/uslugi/priem_metalloloma_priem_chernogo_loma_opt_8023645741","8023645741")</f>
        <v/>
      </c>
    </row>
    <row r="274">
      <c r="A274" s="4" t="inlineStr"/>
      <c r="B274" s="5">
        <f>HYPERLINK("https://www.avito.ru/voloshovo/uslugi/priem_metalloloma_priem_chernogo_loma_opt_8023666843","Прием металлолома / Прием черного лома опт")</f>
        <v/>
      </c>
      <c r="C274" s="6" t="inlineStr">
        <is>
          <t>Ленинградская область</t>
        </is>
      </c>
      <c r="D274" s="6" t="inlineStr">
        <is>
          <t>Волошово</t>
        </is>
      </c>
      <c r="E274" s="7" t="inlineStr">
        <is>
          <t>пос. Волошово, Школьная ул.</t>
        </is>
      </c>
      <c r="F274" s="6" t="inlineStr"/>
      <c r="G274" s="6" t="inlineStr"/>
      <c r="H274" s="8">
        <f>HYPERLINK("https://www.avito.ru/voloshovo/uslugi/priem_metalloloma_priem_chernogo_loma_opt_8023666843","8023666843")</f>
        <v/>
      </c>
    </row>
    <row r="275">
      <c r="A275" s="4" t="inlineStr"/>
      <c r="B275" s="5">
        <f>HYPERLINK("https://www.avito.ru/svetogorsk/uslugi/priem_loma_tsvetnyh_metallov_8023702606","Прием лома цветных металлов")</f>
        <v/>
      </c>
      <c r="C275" s="6" t="inlineStr">
        <is>
          <t>Ленинградская область</t>
        </is>
      </c>
      <c r="D275" s="6" t="inlineStr">
        <is>
          <t>Светогорск</t>
        </is>
      </c>
      <c r="E275" s="7" t="inlineStr">
        <is>
          <t>Светогорск</t>
        </is>
      </c>
      <c r="F275" s="6" t="inlineStr"/>
      <c r="G275" s="6" t="inlineStr"/>
      <c r="H275" s="8">
        <f>HYPERLINK("https://www.avito.ru/svetogorsk/uslugi/priem_loma_tsvetnyh_metallov_8023702606","8023702606")</f>
        <v/>
      </c>
    </row>
    <row r="276">
      <c r="A276" s="4" t="inlineStr"/>
      <c r="B276" s="5">
        <f>HYPERLINK("https://www.avito.ru/leningradskaya_oblast_otradnoe/uslugi/priem_metalloloma_priem_chernogo_loma_8023750099","Прием металлолома / Прием черного лома")</f>
        <v/>
      </c>
      <c r="C276" s="6" t="inlineStr">
        <is>
          <t>Ленинградская область</t>
        </is>
      </c>
      <c r="D276" s="6" t="inlineStr">
        <is>
          <t>Отрадное</t>
        </is>
      </c>
      <c r="E276" s="7" t="inlineStr">
        <is>
          <t>Отрадное, Заводская ул., 1А</t>
        </is>
      </c>
      <c r="F276" s="6" t="inlineStr"/>
      <c r="G276" s="6" t="inlineStr"/>
      <c r="H276" s="8">
        <f>HYPERLINK("https://www.avito.ru/leningradskaya_oblast_otradnoe/uslugi/priem_metalloloma_priem_chernogo_loma_8023750099","8023750099")</f>
        <v/>
      </c>
    </row>
    <row r="277">
      <c r="A277" s="4" t="inlineStr"/>
      <c r="B277" s="5">
        <f>HYPERLINK("https://www.avito.ru/kingisepp/uslugi/priem_metalloloma_priem_tsvetnogo_loma_8023761604","Прием металлолома / Прием цветного лома")</f>
        <v/>
      </c>
      <c r="C277" s="6" t="inlineStr">
        <is>
          <t>Ленинградская область</t>
        </is>
      </c>
      <c r="D277" s="6" t="inlineStr">
        <is>
          <t>Кингисепп</t>
        </is>
      </c>
      <c r="E277" s="7" t="inlineStr">
        <is>
          <t>Кингисепп, ул. Дорожников, 35</t>
        </is>
      </c>
      <c r="F277" s="6" t="inlineStr"/>
      <c r="G277" s="6" t="inlineStr"/>
      <c r="H277" s="8">
        <f>HYPERLINK("https://www.avito.ru/kingisepp/uslugi/priem_metalloloma_priem_tsvetnogo_loma_8023761604","8023761604")</f>
        <v/>
      </c>
    </row>
    <row r="278">
      <c r="A278" s="4" t="inlineStr"/>
      <c r="B278" s="5">
        <f>HYPERLINK("https://www.avito.ru/kudrovo/uslugi/priem_i_vyvoz_metalloloma_sdat_lom_8023802258","Прием и вывоз металлолома / Сдать лом")</f>
        <v/>
      </c>
      <c r="C278" s="6" t="inlineStr">
        <is>
          <t>Ленинградская область</t>
        </is>
      </c>
      <c r="D278" s="6" t="inlineStr">
        <is>
          <t>Кудрово</t>
        </is>
      </c>
      <c r="E278" s="7" t="inlineStr">
        <is>
          <t>Кудрово, мкр-н Южное Кудрово</t>
        </is>
      </c>
      <c r="F278" s="6" t="inlineStr"/>
      <c r="G278" s="6" t="inlineStr"/>
      <c r="H278" s="8">
        <f>HYPERLINK("https://www.avito.ru/kudrovo/uslugi/priem_i_vyvoz_metalloloma_sdat_lom_8023802258","8023802258")</f>
        <v/>
      </c>
    </row>
    <row r="279">
      <c r="A279" s="4" t="inlineStr"/>
      <c r="B279" s="5">
        <f>HYPERLINK("https://www.avito.ru/leningradskaya_oblast_sosnovyy_bor/uslugi/priem_metalla_demontazh_priem_metalloloma_8023815469","Прием металла / Демонтаж / Прием металлолома")</f>
        <v/>
      </c>
      <c r="C279" s="6" t="inlineStr">
        <is>
          <t>Ленинградская область</t>
        </is>
      </c>
      <c r="D279" s="6" t="inlineStr">
        <is>
          <t>Сосновый Бор</t>
        </is>
      </c>
      <c r="E279" s="7" t="inlineStr">
        <is>
          <t>Сосновый Бор, Ракопежское ш., 32</t>
        </is>
      </c>
      <c r="F279" s="6" t="inlineStr"/>
      <c r="G279" s="6" t="inlineStr"/>
      <c r="H279" s="8">
        <f>HYPERLINK("https://www.avito.ru/leningradskaya_oblast_sosnovyy_bor/uslugi/priem_metalla_demontazh_priem_metalloloma_8023815469","8023815469")</f>
        <v/>
      </c>
    </row>
    <row r="280">
      <c r="A280" s="4" t="inlineStr"/>
      <c r="B280" s="5">
        <f>HYPERLINK("https://www.avito.ru/kirishi/uslugi/priem_loma_priem_tsvetnogo_loma_priem_chermeta_8023831799","Прием лома / Прием цветного лома / Прием чермета")</f>
        <v/>
      </c>
      <c r="C280" s="6" t="inlineStr">
        <is>
          <t>Ленинградская область</t>
        </is>
      </c>
      <c r="D280" s="6" t="inlineStr">
        <is>
          <t>Кириши</t>
        </is>
      </c>
      <c r="E280" s="7" t="inlineStr">
        <is>
          <t>Кириши, ш. Энтузиастов, 6А</t>
        </is>
      </c>
      <c r="F280" s="6" t="inlineStr"/>
      <c r="G280" s="6" t="inlineStr"/>
      <c r="H280" s="8">
        <f>HYPERLINK("https://www.avito.ru/kirishi/uslugi/priem_loma_priem_tsvetnogo_loma_priem_chermeta_8023831799","8023831799")</f>
        <v/>
      </c>
    </row>
    <row r="281">
      <c r="A281" s="4" t="inlineStr"/>
      <c r="B281" s="5">
        <f>HYPERLINK("https://www.avito.ru/sertolovo/uslugi/priem_metalloloma_priem_chernogo_loma_opt_8023841626","Прием металлолома / Прием черного лома опт")</f>
        <v/>
      </c>
      <c r="C281" s="6" t="inlineStr">
        <is>
          <t>Ленинградская область</t>
        </is>
      </c>
      <c r="D281" s="6" t="inlineStr">
        <is>
          <t>Сертолово</t>
        </is>
      </c>
      <c r="E281" s="7" t="inlineStr">
        <is>
          <t>Сертолово, Песочная ул., 8к1</t>
        </is>
      </c>
      <c r="F281" s="6" t="inlineStr"/>
      <c r="G281" s="6" t="inlineStr"/>
      <c r="H281" s="8">
        <f>HYPERLINK("https://www.avito.ru/sertolovo/uslugi/priem_metalloloma_priem_chernogo_loma_opt_8023841626","8023841626")</f>
        <v/>
      </c>
    </row>
    <row r="282">
      <c r="A282" s="9" t="inlineStr"/>
      <c r="B282" s="10">
        <f>HYPERLINK("https://www.avito.ru/shlisselburg/uslugi/priem_tsvetnogo_metalloloma_8023870042","Прием цветного металлолома")</f>
        <v/>
      </c>
      <c r="C282" s="11" t="inlineStr">
        <is>
          <t>Ленинградская область</t>
        </is>
      </c>
      <c r="D282" s="11" t="inlineStr">
        <is>
          <t>Шлиссельбург</t>
        </is>
      </c>
      <c r="E282" s="12" t="inlineStr">
        <is>
          <t>Шлиссельбург, ул. Красный Тракт, 7А</t>
        </is>
      </c>
      <c r="F282" s="11" t="inlineStr"/>
      <c r="G282" s="11" t="inlineStr"/>
      <c r="H282" s="13">
        <f>HYPERLINK("https://www.avito.ru/shlisselburg/uslugi/priem_tsvetnogo_metalloloma_8023870042","8023870042")</f>
        <v/>
      </c>
    </row>
  </sheetData>
  <autoFilter ref="A1:H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7"/>
  <sheetViews>
    <sheetView workbookViewId="0">
      <selection activeCell="A1" sqref="A1"/>
    </sheetView>
  </sheetViews>
  <sheetFormatPr baseColWidth="8" defaultRowHeight="15"/>
  <cols>
    <col width="18.33" customWidth="1" min="1" max="1"/>
    <col width="18.44" customWidth="1" min="2" max="2"/>
    <col width="57.33" customWidth="1" min="3" max="3"/>
    <col width="36.55" customWidth="1" min="4" max="4"/>
    <col width="19.33" customWidth="1" min="5" max="5"/>
  </cols>
  <sheetData>
    <row r="1">
      <c r="A1" s="1" t="inlineStr">
        <is>
          <t>Кабинет Авито</t>
        </is>
      </c>
      <c r="B1" s="2" t="inlineStr">
        <is>
          <t>Тип</t>
        </is>
      </c>
      <c r="C1" s="2" t="inlineStr">
        <is>
          <t>Название</t>
        </is>
      </c>
      <c r="D1" s="2" t="inlineStr">
        <is>
          <t>Адрес</t>
        </is>
      </c>
      <c r="E1" s="3" t="inlineStr">
        <is>
          <t>ID объявления</t>
        </is>
      </c>
      <c r="F1" s="14" t="n"/>
      <c r="G1" s="14" t="n"/>
    </row>
    <row r="2">
      <c r="A2" s="4" t="inlineStr"/>
      <c r="B2" s="6" t="inlineStr">
        <is>
          <t>Чермет</t>
        </is>
      </c>
      <c r="C2" s="5">
        <f>HYPERLINK("https://www.avito.ru/velikie_luki/uslugi/priem_metalloloma_priem_chernogo_loma_8023244289","Прием металлолома / Прием черного лома")</f>
        <v/>
      </c>
      <c r="D2" s="7" t="inlineStr">
        <is>
          <t>Великие Луки, Псковская ул., 1</t>
        </is>
      </c>
      <c r="E2" s="15">
        <f>HYPERLINK("https://www.avito.ru/velikie_luki/uslugi/priem_metalloloma_priem_chernogo_loma_8023244289","8023244289")</f>
        <v/>
      </c>
    </row>
    <row r="3">
      <c r="A3" s="4" t="inlineStr"/>
      <c r="B3" s="6" t="inlineStr">
        <is>
          <t>Цветмет</t>
        </is>
      </c>
      <c r="C3" s="5">
        <f>HYPERLINK("https://www.avito.ru/velikie_luki/uslugi/priem_loma_tsvetnyh_metallov_8023438563","Прием лома цветных металлов")</f>
        <v/>
      </c>
      <c r="D3" s="7" t="inlineStr">
        <is>
          <t>Великие Луки, Псковская ул., 1</t>
        </is>
      </c>
      <c r="E3" s="15">
        <f>HYPERLINK("https://www.avito.ru/velikie_luki/uslugi/priem_loma_tsvetnyh_metallov_8023438563","8023438563")</f>
        <v/>
      </c>
    </row>
    <row r="4">
      <c r="A4" s="4" t="inlineStr"/>
      <c r="B4" s="6" t="inlineStr">
        <is>
          <t>Чермет</t>
        </is>
      </c>
      <c r="C4" s="5">
        <f>HYPERLINK("https://www.avito.ru/velikiy_ustyug/uslugi/priem_metalloloma_priem_chernogo_loma_8023813595","Прием металлолома / Прием черного лома")</f>
        <v/>
      </c>
      <c r="D4" s="7" t="inlineStr">
        <is>
          <t>Великий Устюг, Советский пр-т, 3</t>
        </is>
      </c>
      <c r="E4" s="15">
        <f>HYPERLINK("https://www.avito.ru/velikiy_ustyug/uslugi/priem_metalloloma_priem_chernogo_loma_8023813595","8023813595")</f>
        <v/>
      </c>
    </row>
    <row r="5">
      <c r="A5" s="4" t="inlineStr"/>
      <c r="B5" s="6" t="inlineStr">
        <is>
          <t>Чермет</t>
        </is>
      </c>
      <c r="C5" s="5">
        <f>HYPERLINK("https://www.avito.ru/vologda/uslugi/priem_metalloloma_priem_chernogo_loma_opt_8023342779","Прием металлолома / Прием черного лома опт")</f>
        <v/>
      </c>
      <c r="D5" s="7" t="inlineStr">
        <is>
          <t>Вологда, ул. Чернышевского, 141А</t>
        </is>
      </c>
      <c r="E5" s="15">
        <f>HYPERLINK("https://www.avito.ru/vologda/uslugi/priem_metalloloma_priem_chernogo_loma_opt_8023342779","8023342779")</f>
        <v/>
      </c>
    </row>
    <row r="6">
      <c r="A6" s="4" t="inlineStr"/>
      <c r="B6" s="6" t="inlineStr">
        <is>
          <t>Цветмет</t>
        </is>
      </c>
      <c r="C6" s="5">
        <f>HYPERLINK("https://www.avito.ru/velikiy_ustyug/uslugi/priem_metalloloma_priem_tsvetnogo_loma_8023358866","Прием металлолома / Прием цветного лома")</f>
        <v/>
      </c>
      <c r="D6" s="7" t="inlineStr">
        <is>
          <t>Великий Устюг, Советский пр-т, 3</t>
        </is>
      </c>
      <c r="E6" s="15">
        <f>HYPERLINK("https://www.avito.ru/velikiy_ustyug/uslugi/priem_metalloloma_priem_tsvetnogo_loma_8023358866","8023358866")</f>
        <v/>
      </c>
    </row>
    <row r="7">
      <c r="A7" s="4" t="inlineStr"/>
      <c r="B7" s="6" t="inlineStr">
        <is>
          <t>Чермет</t>
        </is>
      </c>
      <c r="C7" s="5">
        <f>HYPERLINK("https://www.avito.ru/staraya_russa/uslugi/priem_metalloloma_priem_chernogo_loma_opt_8023217367","Прием металлолома / Прием черного лома опт")</f>
        <v/>
      </c>
      <c r="D7" s="7" t="inlineStr">
        <is>
          <t>Старая Русса, ул. Кириллова</t>
        </is>
      </c>
      <c r="E7" s="15">
        <f>HYPERLINK("https://www.avito.ru/staraya_russa/uslugi/priem_metalloloma_priem_chernogo_loma_opt_8023217367","8023217367")</f>
        <v/>
      </c>
    </row>
    <row r="8">
      <c r="A8" s="4" t="inlineStr"/>
      <c r="B8" s="6" t="inlineStr">
        <is>
          <t>Чермет</t>
        </is>
      </c>
      <c r="C8" s="5">
        <f>HYPERLINK("https://www.avito.ru/petrozavodsk/uslugi/priem_metalloloma_priem_chernogo_loma_opt_8023699523","Прием металлолома / Прием черного лома опт")</f>
        <v/>
      </c>
      <c r="D8" s="7" t="inlineStr">
        <is>
          <t>Петрозаводск, Прибрежный пер., 1</t>
        </is>
      </c>
      <c r="E8" s="15">
        <f>HYPERLINK("https://www.avito.ru/petrozavodsk/uslugi/priem_metalloloma_priem_chernogo_loma_opt_8023699523","8023699523")</f>
        <v/>
      </c>
    </row>
    <row r="9">
      <c r="A9" s="4" t="inlineStr"/>
      <c r="B9" s="6" t="inlineStr">
        <is>
          <t>Общее</t>
        </is>
      </c>
      <c r="C9" s="5">
        <f>HYPERLINK("https://www.avito.ru/sankt-peterburg/uslugi/priem_i_vyvoz_metalla_priem_loma_7543519387","Прием и вывоз металла/ Прием лома")</f>
        <v/>
      </c>
      <c r="D9" s="7" t="inlineStr">
        <is>
          <t>Санкт-Петербург, пр-т Стачек, 70</t>
        </is>
      </c>
      <c r="E9" s="15">
        <f>HYPERLINK("https://www.avito.ru/sankt-peterburg/uslugi/priem_i_vyvoz_metalla_priem_loma_7543519387","7543519387")</f>
        <v/>
      </c>
    </row>
    <row r="10">
      <c r="A10" s="4" t="inlineStr"/>
      <c r="B10" s="6" t="inlineStr">
        <is>
          <t>Цветмет</t>
        </is>
      </c>
      <c r="C10" s="5">
        <f>HYPERLINK("https://www.avito.ru/ostrov/uslugi/priem_tsvetnogo_metalloloma_8023060857","Прием цветного металлолома")</f>
        <v/>
      </c>
      <c r="D10" s="7" t="inlineStr">
        <is>
          <t>Остров, ул. Карла Маркса, 90Б</t>
        </is>
      </c>
      <c r="E10" s="15">
        <f>HYPERLINK("https://www.avito.ru/ostrov/uslugi/priem_tsvetnogo_metalloloma_8023060857","8023060857")</f>
        <v/>
      </c>
    </row>
    <row r="11">
      <c r="A11" s="4" t="inlineStr"/>
      <c r="B11" s="6" t="inlineStr">
        <is>
          <t>Цветмет</t>
        </is>
      </c>
      <c r="C11" s="5">
        <f>HYPERLINK("https://www.avito.ru/valday/uslugi/priem_loma_tsvetnyh_metallov_8023592145","Прием лома цветных металлов")</f>
        <v/>
      </c>
      <c r="D11" s="7" t="inlineStr">
        <is>
          <t>Валдай, Новгородская ул., 3</t>
        </is>
      </c>
      <c r="E11" s="15">
        <f>HYPERLINK("https://www.avito.ru/valday/uslugi/priem_loma_tsvetnyh_metallov_8023592145","8023592145")</f>
        <v/>
      </c>
    </row>
    <row r="12">
      <c r="A12" s="4" t="inlineStr"/>
      <c r="B12" s="6" t="inlineStr">
        <is>
          <t>АКБ</t>
        </is>
      </c>
      <c r="C12" s="5">
        <f>HYPERLINK("https://www.avito.ru/sankt-peterburg/uslugi/priem_akkumulyatorov_ot_avto_7671561715","Приём аккумуляторов от авто")</f>
        <v/>
      </c>
      <c r="D12" s="7" t="inlineStr">
        <is>
          <t>Санкт-Петербург, Московская пл.</t>
        </is>
      </c>
      <c r="E12" s="15">
        <f>HYPERLINK("https://www.avito.ru/sankt-peterburg/uslugi/priem_akkumulyatorov_ot_avto_7671561715","7671561715")</f>
        <v/>
      </c>
    </row>
    <row r="13">
      <c r="A13" s="4" t="inlineStr"/>
      <c r="B13" s="6" t="inlineStr">
        <is>
          <t>Цветмет</t>
        </is>
      </c>
      <c r="C13" s="5">
        <f>HYPERLINK("https://www.avito.ru/borovichi/uslugi/priem_loma_tsvetnyh_metallov_8023351436","Прием лома цветных металлов")</f>
        <v/>
      </c>
      <c r="D13" s="7" t="inlineStr">
        <is>
          <t>Боровичи, Новгородская ул., 1</t>
        </is>
      </c>
      <c r="E13" s="15">
        <f>HYPERLINK("https://www.avito.ru/borovichi/uslugi/priem_loma_tsvetnyh_metallov_8023351436","8023351436")</f>
        <v/>
      </c>
    </row>
    <row r="14">
      <c r="A14" s="4" t="inlineStr"/>
      <c r="B14" s="6" t="inlineStr">
        <is>
          <t>Чермет</t>
        </is>
      </c>
      <c r="C14" s="5">
        <f>HYPERLINK("https://www.avito.ru/valday/uslugi/priem_metalloloma_priem_chernogo_loma_8023680622","Прием металлолома / Прием черного лома")</f>
        <v/>
      </c>
      <c r="D14" s="7" t="inlineStr">
        <is>
          <t>Валдай, Новгородская ул., 3</t>
        </is>
      </c>
      <c r="E14" s="15">
        <f>HYPERLINK("https://www.avito.ru/valday/uslugi/priem_metalloloma_priem_chernogo_loma_8023680622","8023680622")</f>
        <v/>
      </c>
    </row>
    <row r="15">
      <c r="A15" s="4" t="inlineStr"/>
      <c r="B15" s="6" t="inlineStr">
        <is>
          <t>Цветмет</t>
        </is>
      </c>
      <c r="C15" s="5">
        <f>HYPERLINK("https://www.avito.ru/luga/uslugi/priem_tsvetnogo_metalloloma_8023863256","Прием цветного металлолома")</f>
        <v/>
      </c>
      <c r="D15" s="7" t="inlineStr">
        <is>
          <t>Луга, Старорусская ул., 13Г</t>
        </is>
      </c>
      <c r="E15" s="15">
        <f>HYPERLINK("https://www.avito.ru/luga/uslugi/priem_tsvetnogo_metalloloma_8023863256","8023863256")</f>
        <v/>
      </c>
    </row>
    <row r="16">
      <c r="A16" s="4" t="inlineStr"/>
      <c r="B16" s="6" t="inlineStr">
        <is>
          <t>Цветмет</t>
        </is>
      </c>
      <c r="C16" s="5">
        <f>HYPERLINK("https://www.avito.ru/pskov/uslugi/priem_metalloloma_priem_tsvetnogo_loma_8023621404","Прием металлолома / Прием цветного лома")</f>
        <v/>
      </c>
      <c r="D16" s="7" t="inlineStr">
        <is>
          <t>Псков, Инженерная ул., 7</t>
        </is>
      </c>
      <c r="E16" s="15">
        <f>HYPERLINK("https://www.avito.ru/pskov/uslugi/priem_metalloloma_priem_tsvetnogo_loma_8023621404","8023621404")</f>
        <v/>
      </c>
    </row>
    <row r="17">
      <c r="A17" s="4" t="inlineStr"/>
      <c r="B17" s="6" t="inlineStr">
        <is>
          <t>Цветмет</t>
        </is>
      </c>
      <c r="C17" s="5">
        <f>HYPERLINK("https://www.avito.ru/staraya_russa/uslugi/priem_tsvetnogo_metalloloma_8023280796","Прием цветного металлолома")</f>
        <v/>
      </c>
      <c r="D17" s="7" t="inlineStr">
        <is>
          <t>Старая Русса, ул. Кириллова</t>
        </is>
      </c>
      <c r="E17" s="15">
        <f>HYPERLINK("https://www.avito.ru/staraya_russa/uslugi/priem_tsvetnogo_metalloloma_8023280796","8023280796")</f>
        <v/>
      </c>
    </row>
    <row r="18">
      <c r="A18" s="4" t="inlineStr"/>
      <c r="B18" s="6" t="inlineStr">
        <is>
          <t>Чермет</t>
        </is>
      </c>
      <c r="C18" s="5">
        <f>HYPERLINK("https://www.avito.ru/luga/uslugi/priem_metalloloma_priem_chernogo_loma_opt_8023431202","Прием металлолома / Прием черного лома опт")</f>
        <v/>
      </c>
      <c r="D18" s="7" t="inlineStr">
        <is>
          <t>Луга, Старорусская ул., 13Г</t>
        </is>
      </c>
      <c r="E18" s="15">
        <f>HYPERLINK("https://www.avito.ru/luga/uslugi/priem_metalloloma_priem_chernogo_loma_opt_8023431202","8023431202")</f>
        <v/>
      </c>
    </row>
    <row r="19">
      <c r="A19" s="4" t="inlineStr"/>
      <c r="B19" s="6" t="inlineStr">
        <is>
          <t>Общее</t>
        </is>
      </c>
      <c r="C19" s="5">
        <f>HYPERLINK("https://www.avito.ru/velikie_luki/uslugi/priem_metalloloma_priem_loma_demontazh_8023603190","Прием металлолома / Прием лома / Демонтаж")</f>
        <v/>
      </c>
      <c r="D19" s="7" t="inlineStr">
        <is>
          <t>Великие Луки, Псковская ул., 1</t>
        </is>
      </c>
      <c r="E19" s="15">
        <f>HYPERLINK("https://www.avito.ru/velikie_luki/uslugi/priem_metalloloma_priem_loma_demontazh_8023603190","8023603190")</f>
        <v/>
      </c>
    </row>
    <row r="20">
      <c r="A20" s="4" t="inlineStr"/>
      <c r="B20" s="6" t="inlineStr">
        <is>
          <t>Цветмет</t>
        </is>
      </c>
      <c r="C20" s="5">
        <f>HYPERLINK("https://www.avito.ru/sankt-peterburg/uslugi/priem_tsvetnogo_metalla_skupka_tsvetnogo_metalla_7703868215","Прием цветного металла / скупка цветного металла")</f>
        <v/>
      </c>
      <c r="D20" s="7" t="inlineStr">
        <is>
          <t>Санкт-Петербург, пл. Стачек</t>
        </is>
      </c>
      <c r="E20" s="15">
        <f>HYPERLINK("https://www.avito.ru/sankt-peterburg/uslugi/priem_tsvetnogo_metalla_skupka_tsvetnogo_metalla_7703868215","7703868215")</f>
        <v/>
      </c>
    </row>
    <row r="21">
      <c r="A21" s="4" t="inlineStr"/>
      <c r="B21" s="6" t="inlineStr">
        <is>
          <t>Чермет</t>
        </is>
      </c>
      <c r="C21" s="5">
        <f>HYPERLINK("https://www.avito.ru/gryazovets/uslugi/priem_metalloloma_priem_chernogo_loma_opt_8023702295","Прием металлолома / Прием черного лома опт")</f>
        <v/>
      </c>
      <c r="D21" s="7" t="inlineStr">
        <is>
          <t>Грязовец, ул. Волкова, 11/2</t>
        </is>
      </c>
      <c r="E21" s="15">
        <f>HYPERLINK("https://www.avito.ru/gryazovets/uslugi/priem_metalloloma_priem_chernogo_loma_opt_8023702295","8023702295")</f>
        <v/>
      </c>
    </row>
    <row r="22">
      <c r="A22" s="4" t="inlineStr"/>
      <c r="B22" s="6" t="inlineStr">
        <is>
          <t>Общее</t>
        </is>
      </c>
      <c r="C22" s="5">
        <f>HYPERLINK("https://www.avito.ru/sankt-peterburg/uslugi/priem_i_vyvoz_metalloloma_sdat_lom_8023060349","Прием и вывоз металлолома / Сдать лом")</f>
        <v/>
      </c>
      <c r="D22" s="7" t="inlineStr">
        <is>
          <t>Санкт-Петербург, пр-т Просвещения, 19</t>
        </is>
      </c>
      <c r="E22" s="15">
        <f>HYPERLINK("https://www.avito.ru/sankt-peterburg/uslugi/priem_i_vyvoz_metalloloma_sdat_lom_8023060349","8023060349")</f>
        <v/>
      </c>
    </row>
    <row r="23">
      <c r="A23" s="4" t="inlineStr"/>
      <c r="B23" s="6" t="inlineStr">
        <is>
          <t>Цветмет</t>
        </is>
      </c>
      <c r="C23" s="5">
        <f>HYPERLINK("https://www.avito.ru/petrozavodsk/uslugi/priem_tsvetnogo_metalloloma_8023531905","Прием цветного металлолома")</f>
        <v/>
      </c>
      <c r="D23" s="7" t="inlineStr">
        <is>
          <t>Петрозаводск, Прибрежный пер., 1</t>
        </is>
      </c>
      <c r="E23" s="15">
        <f>HYPERLINK("https://www.avito.ru/petrozavodsk/uslugi/priem_tsvetnogo_metalloloma_8023531905","8023531905")</f>
        <v/>
      </c>
    </row>
    <row r="24">
      <c r="A24" s="4" t="inlineStr"/>
      <c r="B24" s="6" t="inlineStr">
        <is>
          <t>АКБ</t>
        </is>
      </c>
      <c r="C24" s="5">
        <f>HYPERLINK("https://www.avito.ru/sankt-peterburg/uslugi/priem_akb_sdat_akb_7543139828","Прием АКБ / Сдать АКБ")</f>
        <v/>
      </c>
      <c r="D24" s="7" t="inlineStr">
        <is>
          <t>Санкт-Петербург, б-р Новаторов, 73к4А</t>
        </is>
      </c>
      <c r="E24" s="15">
        <f>HYPERLINK("https://www.avito.ru/sankt-peterburg/uslugi/priem_akb_sdat_akb_7543139828","7543139828")</f>
        <v/>
      </c>
    </row>
    <row r="25">
      <c r="A25" s="4" t="inlineStr"/>
      <c r="B25" s="6" t="inlineStr">
        <is>
          <t>Чермет</t>
        </is>
      </c>
      <c r="C25" s="5">
        <f>HYPERLINK("https://www.avito.ru/pskov/uslugi/priem_metalloloma_priem_chernogo_loma_8023637444","Прием металлолома / Прием черного лома")</f>
        <v/>
      </c>
      <c r="D25" s="7" t="inlineStr">
        <is>
          <t>Псков, Алмазная ул., 6</t>
        </is>
      </c>
      <c r="E25" s="15">
        <f>HYPERLINK("https://www.avito.ru/pskov/uslugi/priem_metalloloma_priem_chernogo_loma_8023637444","8023637444")</f>
        <v/>
      </c>
    </row>
    <row r="26">
      <c r="A26" s="4" t="inlineStr"/>
      <c r="B26" s="6" t="inlineStr">
        <is>
          <t>Цветмет</t>
        </is>
      </c>
      <c r="C26" s="5">
        <f>HYPERLINK("https://www.avito.ru/cherepovets/uslugi/priem_loma_tsvetnyh_metallov_8023543552","Прием лома цветных металлов")</f>
        <v/>
      </c>
      <c r="D26" s="7" t="inlineStr">
        <is>
          <t>Череповец, Северное ш., 71А</t>
        </is>
      </c>
      <c r="E26" s="15">
        <f>HYPERLINK("https://www.avito.ru/cherepovets/uslugi/priem_loma_tsvetnyh_metallov_8023543552","8023543552")</f>
        <v/>
      </c>
    </row>
    <row r="27">
      <c r="A27" s="4" t="inlineStr"/>
      <c r="B27" s="6" t="inlineStr">
        <is>
          <t>Общее</t>
        </is>
      </c>
      <c r="C27" s="5">
        <f>HYPERLINK("https://www.avito.ru/sankt-peterburg/uslugi/priem_i_vyvoz_metalloloma_sdat_lom_8023868562","Прием и вывоз металлолома / Сдать лом")</f>
        <v/>
      </c>
      <c r="D27" s="7" t="inlineStr">
        <is>
          <t>Санкт-Петербург, Гражданский пр-т, 116к1</t>
        </is>
      </c>
      <c r="E27" s="15">
        <f>HYPERLINK("https://www.avito.ru/sankt-peterburg/uslugi/priem_i_vyvoz_metalloloma_sdat_lom_8023868562","8023868562")</f>
        <v/>
      </c>
    </row>
    <row r="28">
      <c r="A28" s="4" t="inlineStr"/>
      <c r="B28" s="6" t="inlineStr">
        <is>
          <t>Цветмет</t>
        </is>
      </c>
      <c r="C28" s="5">
        <f>HYPERLINK("https://www.avito.ru/sankt-peterburg/uslugi/priem_metalloloma_priem_tsvetnogo_loma_8023715667","Прием металлолома / Прием цветного лома")</f>
        <v/>
      </c>
      <c r="D28" s="7" t="inlineStr">
        <is>
          <t>Санкт-Петербург, Заневский пр-т, 69</t>
        </is>
      </c>
      <c r="E28" s="15">
        <f>HYPERLINK("https://www.avito.ru/sankt-peterburg/uslugi/priem_metalloloma_priem_tsvetnogo_loma_8023715667","8023715667")</f>
        <v/>
      </c>
    </row>
    <row r="29">
      <c r="A29" s="4" t="inlineStr"/>
      <c r="B29" s="6" t="inlineStr">
        <is>
          <t>Цветмет</t>
        </is>
      </c>
      <c r="C29" s="5">
        <f>HYPERLINK("https://www.avito.ru/vyborg/uslugi/priem_tsvetnogo_metalloloma_8023487924","Прием цветного металлолома")</f>
        <v/>
      </c>
      <c r="D29" s="7" t="inlineStr">
        <is>
          <t>Выборг, Промышленная ул., 10</t>
        </is>
      </c>
      <c r="E29" s="15">
        <f>HYPERLINK("https://www.avito.ru/vyborg/uslugi/priem_tsvetnogo_metalloloma_8023487924","8023487924")</f>
        <v/>
      </c>
    </row>
    <row r="30">
      <c r="A30" s="4" t="inlineStr"/>
      <c r="B30" s="6" t="inlineStr">
        <is>
          <t>Цветмет</t>
        </is>
      </c>
      <c r="C30" s="5">
        <f>HYPERLINK("https://www.avito.ru/vologodskaya_oblast_sokol/uslugi/priem_tsvetnogo_metalloloma_8023420373","Прием цветного металлолома")</f>
        <v/>
      </c>
      <c r="D30" s="7" t="inlineStr">
        <is>
          <t>Сокол, Советская ул., 122Б</t>
        </is>
      </c>
      <c r="E30" s="15">
        <f>HYPERLINK("https://www.avito.ru/vologodskaya_oblast_sokol/uslugi/priem_tsvetnogo_metalloloma_8023420373","8023420373")</f>
        <v/>
      </c>
    </row>
    <row r="31">
      <c r="A31" s="4" t="inlineStr"/>
      <c r="B31" s="6" t="inlineStr">
        <is>
          <t>Чермет</t>
        </is>
      </c>
      <c r="C31" s="5">
        <f>HYPERLINK("https://www.avito.ru/vyborg/uslugi/priem_metalloloma_priem_chernogo_loma_opt_8023080226","Прием металлолома / Прием черного лома опт")</f>
        <v/>
      </c>
      <c r="D31" s="7" t="inlineStr">
        <is>
          <t>Выборг, Промышленная ул., 10</t>
        </is>
      </c>
      <c r="E31" s="15">
        <f>HYPERLINK("https://www.avito.ru/vyborg/uslugi/priem_metalloloma_priem_chernogo_loma_opt_8023080226","8023080226")</f>
        <v/>
      </c>
    </row>
    <row r="32">
      <c r="A32" s="4" t="inlineStr"/>
      <c r="B32" s="6" t="inlineStr">
        <is>
          <t>Цветмет</t>
        </is>
      </c>
      <c r="C32" s="5">
        <f>HYPERLINK("https://www.avito.ru/pikalevo/uslugi/priem_tsvetnogo_metalloloma_8023345096","Прием цветного металлолома")</f>
        <v/>
      </c>
      <c r="D32" s="7" t="inlineStr">
        <is>
          <t>Пикалёво, Советская ул.</t>
        </is>
      </c>
      <c r="E32" s="15">
        <f>HYPERLINK("https://www.avito.ru/pikalevo/uslugi/priem_tsvetnogo_metalloloma_8023345096","8023345096")</f>
        <v/>
      </c>
    </row>
    <row r="33">
      <c r="A33" s="4" t="inlineStr"/>
      <c r="B33" s="6" t="inlineStr">
        <is>
          <t>Цветмет</t>
        </is>
      </c>
      <c r="C33" s="5">
        <f>HYPERLINK("https://www.avito.ru/slantsy/uslugi/priem_metalloloma_priem_tsvetnogo_loma_8023580238","Прием металлолома / Прием цветного лома")</f>
        <v/>
      </c>
      <c r="D33" s="7" t="inlineStr">
        <is>
          <t>Сланцы, Сланцевское ш., 32Б</t>
        </is>
      </c>
      <c r="E33" s="15">
        <f>HYPERLINK("https://www.avito.ru/slantsy/uslugi/priem_metalloloma_priem_tsvetnogo_loma_8023580238","8023580238")</f>
        <v/>
      </c>
    </row>
    <row r="34">
      <c r="A34" s="4" t="inlineStr"/>
      <c r="B34" s="6" t="inlineStr">
        <is>
          <t>Цветмет</t>
        </is>
      </c>
      <c r="C34" s="5">
        <f>HYPERLINK("https://www.avito.ru/sheksna/uslugi/priem_loma_tsvetnyh_metallov_8023900075","Прием лома цветных металлов")</f>
        <v/>
      </c>
      <c r="D34" s="7" t="inlineStr">
        <is>
          <t>рп. Шексна, ДОЗ ул.</t>
        </is>
      </c>
      <c r="E34" s="15">
        <f>HYPERLINK("https://www.avito.ru/sheksna/uslugi/priem_loma_tsvetnyh_metallov_8023900075","8023900075")</f>
        <v/>
      </c>
    </row>
    <row r="35">
      <c r="A35" s="4" t="inlineStr"/>
      <c r="B35" s="6" t="inlineStr">
        <is>
          <t>Общее</t>
        </is>
      </c>
      <c r="C35" s="5">
        <f>HYPERLINK("https://www.avito.ru/sankt-peterburg/uslugi/priem_metalloloma_priem_loma_demontazh_7543158206","Прием металлолома / Прием лома / Демонтаж")</f>
        <v/>
      </c>
      <c r="D35" s="7" t="inlineStr">
        <is>
          <t>Санкт-Петербург, ул. Одоевского, 29</t>
        </is>
      </c>
      <c r="E35" s="15">
        <f>HYPERLINK("https://www.avito.ru/sankt-peterburg/uslugi/priem_metalloloma_priem_loma_demontazh_7543158206","7543158206")</f>
        <v/>
      </c>
    </row>
    <row r="36">
      <c r="A36" s="4" t="inlineStr"/>
      <c r="B36" s="6" t="inlineStr">
        <is>
          <t>Чермет</t>
        </is>
      </c>
      <c r="C36" s="5">
        <f>HYPERLINK("https://www.avito.ru/borovichi/uslugi/priem_metalloloma_priem_chernogo_loma_8023899134","Прием металлолома / Прием черного лома")</f>
        <v/>
      </c>
      <c r="D36" s="7" t="inlineStr">
        <is>
          <t>Боровичи, Новгородская ул., 1</t>
        </is>
      </c>
      <c r="E36" s="15">
        <f>HYPERLINK("https://www.avito.ru/borovichi/uslugi/priem_metalloloma_priem_chernogo_loma_8023899134","8023899134")</f>
        <v/>
      </c>
    </row>
    <row r="37">
      <c r="A37" s="4" t="inlineStr"/>
      <c r="B37" s="6" t="inlineStr">
        <is>
          <t>Цветмет</t>
        </is>
      </c>
      <c r="C37" s="5">
        <f>HYPERLINK("https://www.avito.ru/vologda/uslugi/priem_tsvetnogo_metalloloma_8023023404","Прием цветного металлолома")</f>
        <v/>
      </c>
      <c r="D37" s="7" t="inlineStr">
        <is>
          <t>Вологда, ул. Чернышевского, 141А</t>
        </is>
      </c>
      <c r="E37" s="15">
        <f>HYPERLINK("https://www.avito.ru/vologda/uslugi/priem_tsvetnogo_metalloloma_8023023404","8023023404")</f>
        <v/>
      </c>
    </row>
    <row r="38">
      <c r="A38" s="4" t="inlineStr"/>
      <c r="B38" s="6" t="inlineStr">
        <is>
          <t>Общее</t>
        </is>
      </c>
      <c r="C38" s="5">
        <f>HYPERLINK("https://www.avito.ru/sankt-peterburg/uslugi/priem_i_vyvoz_metalloloma_sdat_lom_8023351187","Прием и вывоз металлолома / Сдать лом")</f>
        <v/>
      </c>
      <c r="D38" s="7" t="inlineStr">
        <is>
          <t>Санкт-Петербург, пр-т Науки, 19к1</t>
        </is>
      </c>
      <c r="E38" s="15">
        <f>HYPERLINK("https://www.avito.ru/sankt-peterburg/uslugi/priem_i_vyvoz_metalloloma_sdat_lom_8023351187","8023351187")</f>
        <v/>
      </c>
    </row>
    <row r="39">
      <c r="A39" s="4" t="inlineStr"/>
      <c r="B39" s="6" t="inlineStr">
        <is>
          <t>Цветмет</t>
        </is>
      </c>
      <c r="C39" s="5">
        <f>HYPERLINK("https://www.avito.ru/tihvin/uslugi/priem_metalloloma_priem_tsvetnogo_loma_8023188116","Прием металлолома / Прием цветного лома")</f>
        <v/>
      </c>
      <c r="D39" s="7" t="inlineStr">
        <is>
          <t>Тихвин, Право-Вологодский тупик, 9</t>
        </is>
      </c>
      <c r="E39" s="15">
        <f>HYPERLINK("https://www.avito.ru/tihvin/uslugi/priem_metalloloma_priem_tsvetnogo_loma_8023188116","8023188116")</f>
        <v/>
      </c>
    </row>
    <row r="40">
      <c r="A40" s="4" t="inlineStr"/>
      <c r="B40" s="6" t="inlineStr">
        <is>
          <t>Общее</t>
        </is>
      </c>
      <c r="C40" s="5">
        <f>HYPERLINK("https://www.avito.ru/sankt-peterburg/uslugi/priem_metalla_demontazh_priem_metalloloma_8023299475","Прием металла / Демонтаж / Прием металлолома")</f>
        <v/>
      </c>
      <c r="D40" s="7" t="inlineStr">
        <is>
          <t>Санкт-Петербург, ул. Дыбенко, 26</t>
        </is>
      </c>
      <c r="E40" s="15">
        <f>HYPERLINK("https://www.avito.ru/sankt-peterburg/uslugi/priem_metalla_demontazh_priem_metalloloma_8023299475","8023299475")</f>
        <v/>
      </c>
    </row>
    <row r="41">
      <c r="A41" s="4" t="inlineStr"/>
      <c r="B41" s="6" t="inlineStr">
        <is>
          <t>Общее</t>
        </is>
      </c>
      <c r="C41" s="5">
        <f>HYPERLINK("https://www.avito.ru/sankt-peterburg/uslugi/priem_metalloloma_vyvoz_metalloloma_8023266841","Прием металлолома/ Вывоз металлолома")</f>
        <v/>
      </c>
      <c r="D41" s="7" t="inlineStr">
        <is>
          <t>Санкт-Петербург, ул. Дыбенко, 26</t>
        </is>
      </c>
      <c r="E41" s="15">
        <f>HYPERLINK("https://www.avito.ru/sankt-peterburg/uslugi/priem_metalloloma_vyvoz_metalloloma_8023266841","8023266841")</f>
        <v/>
      </c>
    </row>
    <row r="42">
      <c r="A42" s="4" t="inlineStr"/>
      <c r="B42" s="6" t="inlineStr">
        <is>
          <t>Цветмет</t>
        </is>
      </c>
      <c r="C42" s="5">
        <f>HYPERLINK("https://www.avito.ru/severodvinsk/uslugi/priem_metalloloma_priem_tsvetnogo_loma_8023518256","Прием металлолома / Прием цветного лома")</f>
        <v/>
      </c>
      <c r="D42" s="7" t="inlineStr">
        <is>
          <t>Северодвинск, Ягринское ш., 2А</t>
        </is>
      </c>
      <c r="E42" s="15">
        <f>HYPERLINK("https://www.avito.ru/severodvinsk/uslugi/priem_metalloloma_priem_tsvetnogo_loma_8023518256","8023518256")</f>
        <v/>
      </c>
    </row>
    <row r="43">
      <c r="A43" s="4" t="inlineStr"/>
      <c r="B43" s="6" t="inlineStr">
        <is>
          <t>Общее</t>
        </is>
      </c>
      <c r="C43" s="5">
        <f>HYPERLINK("https://www.avito.ru/sankt-peterburg/uslugi/spektralnyy_analiz_sostava_metalla_7799250387","Спектральный анализ состава металла")</f>
        <v/>
      </c>
      <c r="D43" s="7" t="inlineStr">
        <is>
          <t>Санкт-Петербург, 1 линия – Кировско-Выборгская</t>
        </is>
      </c>
      <c r="E43" s="15">
        <f>HYPERLINK("https://www.avito.ru/sankt-peterburg/uslugi/spektralnyy_analiz_sostava_metalla_7799250387","7799250387")</f>
        <v/>
      </c>
    </row>
    <row r="44">
      <c r="A44" s="4" t="inlineStr"/>
      <c r="B44" s="6" t="inlineStr">
        <is>
          <t>Цветмет</t>
        </is>
      </c>
      <c r="C44" s="5">
        <f>HYPERLINK("https://www.avito.ru/borovichi/uslugi/priem_loma_priem_tsvetnogo_loma_priem_chermeta_8023707576","Прием лома / Прием цветного лома / Прием чермета")</f>
        <v/>
      </c>
      <c r="D44" s="7" t="inlineStr">
        <is>
          <t>Боровичи, Новгородская ул., 1</t>
        </is>
      </c>
      <c r="E44" s="15">
        <f>HYPERLINK("https://www.avito.ru/borovichi/uslugi/priem_loma_priem_tsvetnogo_loma_priem_chermeta_8023707576","8023707576")</f>
        <v/>
      </c>
    </row>
    <row r="45">
      <c r="A45" s="4" t="inlineStr"/>
      <c r="B45" s="6" t="inlineStr">
        <is>
          <t>РЗМ</t>
        </is>
      </c>
      <c r="C45" s="5">
        <f>HYPERLINK("https://www.avito.ru/sankt-peterburg/uslugi/priem_i_vyvoz_metalloloma_priem_redkih_metallov_8023098686","Прием и вывоз металлолома / Прием редких металлов")</f>
        <v/>
      </c>
      <c r="D45" s="7" t="inlineStr">
        <is>
          <t>Санкт-Петербург, Бухарестская ул., 30</t>
        </is>
      </c>
      <c r="E45" s="15">
        <f>HYPERLINK("https://www.avito.ru/sankt-peterburg/uslugi/priem_i_vyvoz_metalloloma_priem_redkih_metallov_8023098686","8023098686")</f>
        <v/>
      </c>
    </row>
    <row r="46">
      <c r="A46" s="4" t="inlineStr"/>
      <c r="B46" s="6" t="inlineStr">
        <is>
          <t>РЗМ</t>
        </is>
      </c>
      <c r="C46" s="5">
        <f>HYPERLINK("https://www.avito.ru/sankt-peterburg/uslugi/priem_i_vyvoz_metalloloma_priem_redkih_metallov_8023865033","Прием и вывоз металлолома / Прием редких металлов")</f>
        <v/>
      </c>
      <c r="D46" s="7" t="inlineStr">
        <is>
          <t>Санкт-Петербург, Гражданский пр-т, 116к1</t>
        </is>
      </c>
      <c r="E46" s="15">
        <f>HYPERLINK("https://www.avito.ru/sankt-peterburg/uslugi/priem_i_vyvoz_metalloloma_priem_redkih_metallov_8023865033","8023865033")</f>
        <v/>
      </c>
    </row>
    <row r="47">
      <c r="A47" s="4" t="inlineStr"/>
      <c r="B47" s="6" t="inlineStr">
        <is>
          <t>Общее</t>
        </is>
      </c>
      <c r="C47" s="5">
        <f>HYPERLINK("https://www.avito.ru/sankt-peterburg/uslugi/priem_metalloloma_priem_loma_demontazh_8023716687","Прием металлолома / Прием лома / Демонтаж")</f>
        <v/>
      </c>
      <c r="D47" s="7" t="inlineStr">
        <is>
          <t>Санкт-Петербург, Московская пл.</t>
        </is>
      </c>
      <c r="E47" s="15">
        <f>HYPERLINK("https://www.avito.ru/sankt-peterburg/uslugi/priem_metalloloma_priem_loma_demontazh_8023716687","8023716687")</f>
        <v/>
      </c>
    </row>
    <row r="48">
      <c r="A48" s="4" t="inlineStr"/>
      <c r="B48" s="6" t="inlineStr">
        <is>
          <t>Чермет</t>
        </is>
      </c>
      <c r="C48" s="5">
        <f>HYPERLINK("https://www.avito.ru/velikiy_novgorod/uslugi/priem_metalloloma_priem_chernogo_loma_8023865130","Прием металлолома / Прием черного лома")</f>
        <v/>
      </c>
      <c r="D48" s="7" t="inlineStr">
        <is>
          <t>Великий Новгород, Донецкий район, Студенческая ул., 20</t>
        </is>
      </c>
      <c r="E48" s="15">
        <f>HYPERLINK("https://www.avito.ru/velikiy_novgorod/uslugi/priem_metalloloma_priem_chernogo_loma_8023865130","8023865130")</f>
        <v/>
      </c>
    </row>
    <row r="49">
      <c r="A49" s="4" t="inlineStr"/>
      <c r="B49" s="6" t="inlineStr">
        <is>
          <t>Общее</t>
        </is>
      </c>
      <c r="C49" s="5">
        <f>HYPERLINK("https://www.avito.ru/sankt-peterburg/uslugi/vyvoz_metalloloma_priem_loma_demontazh_7543675768","Вывоз металлолома / Прием лома / Демонтаж")</f>
        <v/>
      </c>
      <c r="D49" s="7" t="inlineStr">
        <is>
          <t>Санкт-Петербург, Заневский пр-т</t>
        </is>
      </c>
      <c r="E49" s="15">
        <f>HYPERLINK("https://www.avito.ru/sankt-peterburg/uslugi/vyvoz_metalloloma_priem_loma_demontazh_7543675768","7543675768")</f>
        <v/>
      </c>
    </row>
    <row r="50">
      <c r="A50" s="4" t="inlineStr"/>
      <c r="B50" s="6" t="inlineStr">
        <is>
          <t>Чермет</t>
        </is>
      </c>
      <c r="C50" s="5">
        <f>HYPERLINK("https://www.avito.ru/pestovo/uslugi/priem_metalloloma_priem_chernogo_loma_8022982419","Прием металлолома / Прием черного лома")</f>
        <v/>
      </c>
      <c r="D50" s="7" t="inlineStr">
        <is>
          <t>Пестово, Луговая ул., 4</t>
        </is>
      </c>
      <c r="E50" s="15">
        <f>HYPERLINK("https://www.avito.ru/pestovo/uslugi/priem_metalloloma_priem_chernogo_loma_8022982419","8022982419")</f>
        <v/>
      </c>
    </row>
    <row r="51">
      <c r="A51" s="4" t="inlineStr"/>
      <c r="B51" s="6" t="inlineStr">
        <is>
          <t>Чермет</t>
        </is>
      </c>
      <c r="C51" s="5">
        <f>HYPERLINK("https://www.avito.ru/gatchina/uslugi/priem_metalloloma_priem_chernogo_loma_8023164342","Прием металлолома / Прием черного лома")</f>
        <v/>
      </c>
      <c r="D51" s="7" t="inlineStr">
        <is>
          <t>Гатчина, ул. Старая Дорога, 2</t>
        </is>
      </c>
      <c r="E51" s="15">
        <f>HYPERLINK("https://www.avito.ru/gatchina/uslugi/priem_metalloloma_priem_chernogo_loma_8023164342","8023164342")</f>
        <v/>
      </c>
    </row>
    <row r="52">
      <c r="A52" s="4" t="inlineStr"/>
      <c r="B52" s="6" t="inlineStr">
        <is>
          <t>Цветмет</t>
        </is>
      </c>
      <c r="C52" s="5">
        <f>HYPERLINK("https://www.avito.ru/pestovo/uslugi/priem_metalloloma_priem_tsvetnogo_loma_8023269621","Прием металлолома / Прием цветного лома")</f>
        <v/>
      </c>
      <c r="D52" s="7" t="inlineStr">
        <is>
          <t>Пестово, Луговая ул., 4</t>
        </is>
      </c>
      <c r="E52" s="15">
        <f>HYPERLINK("https://www.avito.ru/pestovo/uslugi/priem_metalloloma_priem_tsvetnogo_loma_8023269621","8023269621")</f>
        <v/>
      </c>
    </row>
    <row r="53">
      <c r="A53" s="4" t="inlineStr"/>
      <c r="B53" s="6" t="inlineStr">
        <is>
          <t>Цветмет</t>
        </is>
      </c>
      <c r="C53" s="5">
        <f>HYPERLINK("https://www.avito.ru/podporozhe/uslugi/priem_tsvetnogo_metalloloma_8023840634","Прием цветного металлолома")</f>
        <v/>
      </c>
      <c r="D53" s="7" t="inlineStr">
        <is>
          <t>Подпорожье</t>
        </is>
      </c>
      <c r="E53" s="15">
        <f>HYPERLINK("https://www.avito.ru/podporozhe/uslugi/priem_tsvetnogo_metalloloma_8023840634","8023840634")</f>
        <v/>
      </c>
    </row>
    <row r="54">
      <c r="A54" s="4" t="inlineStr"/>
      <c r="B54" s="6" t="inlineStr">
        <is>
          <t>Общее</t>
        </is>
      </c>
      <c r="C54" s="5">
        <f>HYPERLINK("https://www.avito.ru/nevel/uslugi/priem_i_vyvoz_metalloloma_samovyvoz_loma_8023848483","Прием и вывоз металлолома / Самовывоз лома")</f>
        <v/>
      </c>
      <c r="D54" s="7" t="inlineStr">
        <is>
          <t>Невель, ул. Урицкого, 116</t>
        </is>
      </c>
      <c r="E54" s="15">
        <f>HYPERLINK("https://www.avito.ru/nevel/uslugi/priem_i_vyvoz_metalloloma_samovyvoz_loma_8023848483","8023848483")</f>
        <v/>
      </c>
    </row>
    <row r="55">
      <c r="A55" s="4" t="inlineStr"/>
      <c r="B55" s="6" t="inlineStr">
        <is>
          <t>Кабель</t>
        </is>
      </c>
      <c r="C55" s="5">
        <f>HYPERLINK("https://www.avito.ru/sankt-peterburg/uslugi/priem_kabelya_sdat_kabel_sdat_provodku_7703090725","Прием кабеля / сдать кабель / сдать проводку")</f>
        <v/>
      </c>
      <c r="D55" s="7" t="inlineStr">
        <is>
          <t>Санкт-Петербург, ул. Одоевского, 29</t>
        </is>
      </c>
      <c r="E55" s="15">
        <f>HYPERLINK("https://www.avito.ru/sankt-peterburg/uslugi/priem_kabelya_sdat_kabel_sdat_provodku_7703090725","7703090725")</f>
        <v/>
      </c>
    </row>
    <row r="56">
      <c r="A56" s="4" t="inlineStr"/>
      <c r="B56" s="6" t="inlineStr">
        <is>
          <t>Чермет</t>
        </is>
      </c>
      <c r="C56" s="5">
        <f>HYPERLINK("https://www.avito.ru/vologodskaya_oblast_sokol/uslugi/priem_metalloloma_priem_chernogo_loma_opt_8023104988","Прием металлолома / Прием черного лома опт")</f>
        <v/>
      </c>
      <c r="D56" s="7" t="inlineStr">
        <is>
          <t>Сокол, Советская ул., 122Б</t>
        </is>
      </c>
      <c r="E56" s="15">
        <f>HYPERLINK("https://www.avito.ru/vologodskaya_oblast_sokol/uslugi/priem_metalloloma_priem_chernogo_loma_opt_8023104988","8023104988")</f>
        <v/>
      </c>
    </row>
    <row r="57">
      <c r="A57" s="4" t="inlineStr"/>
      <c r="B57" s="6" t="inlineStr">
        <is>
          <t>Общее</t>
        </is>
      </c>
      <c r="C57" s="5">
        <f>HYPERLINK("https://www.avito.ru/sankt-peterburg/uslugi/priem_metalla_demontazh_priem_metalloloma_8023841120","Прием металла / Демонтаж / Прием металлолома")</f>
        <v/>
      </c>
      <c r="D57" s="7" t="inlineStr">
        <is>
          <t>Санкт-Петербург, ул. Савушкина, 2</t>
        </is>
      </c>
      <c r="E57" s="15">
        <f>HYPERLINK("https://www.avito.ru/sankt-peterburg/uslugi/priem_metalla_demontazh_priem_metalloloma_8023841120","8023841120")</f>
        <v/>
      </c>
    </row>
    <row r="58">
      <c r="A58" s="4" t="inlineStr"/>
      <c r="B58" s="6" t="inlineStr">
        <is>
          <t>Общее</t>
        </is>
      </c>
      <c r="C58" s="5">
        <f>HYPERLINK("https://www.avito.ru/pskov/uslugi/priem_metalla_demontazh_priem_metalloloma_8023197482","Прием металла / Демонтаж / Прием металлолома")</f>
        <v/>
      </c>
      <c r="D58" s="7" t="inlineStr">
        <is>
          <t>Псков, Инженерная ул., 7</t>
        </is>
      </c>
      <c r="E58" s="15">
        <f>HYPERLINK("https://www.avito.ru/pskov/uslugi/priem_metalla_demontazh_priem_metalloloma_8023197482","8023197482")</f>
        <v/>
      </c>
    </row>
    <row r="59">
      <c r="A59" s="4" t="inlineStr"/>
      <c r="B59" s="6" t="inlineStr">
        <is>
          <t>Общее</t>
        </is>
      </c>
      <c r="C59" s="5">
        <f>HYPERLINK("https://www.avito.ru/valday/uslugi/priem_metalloloma_skupka_metalla_8023435398","Прием металлолома / Скупка металла")</f>
        <v/>
      </c>
      <c r="D59" s="7" t="inlineStr">
        <is>
          <t>Валдай, Новгородская ул., 3</t>
        </is>
      </c>
      <c r="E59" s="15">
        <f>HYPERLINK("https://www.avito.ru/valday/uslugi/priem_metalloloma_skupka_metalla_8023435398","8023435398")</f>
        <v/>
      </c>
    </row>
    <row r="60">
      <c r="A60" s="4" t="inlineStr"/>
      <c r="B60" s="6" t="inlineStr">
        <is>
          <t>Чермет</t>
        </is>
      </c>
      <c r="C60" s="5">
        <f>HYPERLINK("https://www.avito.ru/ostrov/uslugi/priem_metalloloma_priem_chernogo_loma_opt_8023710211","Прием металлолома / Прием черного лома опт")</f>
        <v/>
      </c>
      <c r="D60" s="7" t="inlineStr">
        <is>
          <t>Остров, ул. Карла Маркса, 90Б</t>
        </is>
      </c>
      <c r="E60" s="15">
        <f>HYPERLINK("https://www.avito.ru/ostrov/uslugi/priem_metalloloma_priem_chernogo_loma_opt_8023710211","8023710211")</f>
        <v/>
      </c>
    </row>
    <row r="61">
      <c r="A61" s="4" t="inlineStr"/>
      <c r="B61" s="6" t="inlineStr">
        <is>
          <t>Цветмет</t>
        </is>
      </c>
      <c r="C61" s="5">
        <f>HYPERLINK("https://www.avito.ru/sankt-peterburg/uslugi/priem_loma_priem_tsvetnogo_loma_priem_chermeta_8023507126","Прием лома / Прием цветного лома / Прием чермета")</f>
        <v/>
      </c>
      <c r="D61" s="7" t="inlineStr">
        <is>
          <t>Санкт-Петербург, Заневский пр-т, 69</t>
        </is>
      </c>
      <c r="E61" s="15">
        <f>HYPERLINK("https://www.avito.ru/sankt-peterburg/uslugi/priem_loma_priem_tsvetnogo_loma_priem_chermeta_8023507126","8023507126")</f>
        <v/>
      </c>
    </row>
    <row r="62">
      <c r="A62" s="4" t="inlineStr"/>
      <c r="B62" s="6" t="inlineStr">
        <is>
          <t>Чермет</t>
        </is>
      </c>
      <c r="C62" s="5">
        <f>HYPERLINK("https://www.avito.ru/volhov/uslugi/priem_metalloloma_priem_chernogo_loma_8023774305","Прием металлолома / Прием черного лома")</f>
        <v/>
      </c>
      <c r="D62" s="7" t="inlineStr">
        <is>
          <t>Волхов, Новгородская ул., 7</t>
        </is>
      </c>
      <c r="E62" s="15">
        <f>HYPERLINK("https://www.avito.ru/volhov/uslugi/priem_metalloloma_priem_chernogo_loma_8023774305","8023774305")</f>
        <v/>
      </c>
    </row>
    <row r="63">
      <c r="A63" s="4" t="inlineStr"/>
      <c r="B63" s="6" t="inlineStr">
        <is>
          <t>Общее</t>
        </is>
      </c>
      <c r="C63" s="5">
        <f>HYPERLINK("https://www.avito.ru/sankt-peterburg/uslugi/demontazh_snos_zdaniy_metallokonstruktsiy_7735781826","Демонтаж / Снос зданий / Металлоконструкций")</f>
        <v/>
      </c>
      <c r="D63" s="7" t="inlineStr">
        <is>
          <t>Санкт-Петербург, пр-т Стачек, 70</t>
        </is>
      </c>
      <c r="E63" s="15">
        <f>HYPERLINK("https://www.avito.ru/sankt-peterburg/uslugi/demontazh_snos_zdaniy_metallokonstruktsiy_7735781826","7735781826")</f>
        <v/>
      </c>
    </row>
    <row r="64">
      <c r="A64" s="4" t="inlineStr"/>
      <c r="B64" s="6" t="inlineStr">
        <is>
          <t>Цветмет</t>
        </is>
      </c>
      <c r="C64" s="5">
        <f>HYPERLINK("https://www.avito.ru/staraya_russa/uslugi/priem_loma_priem_tsvetnogo_loma_priem_chermeta_8023108025","Прием лома / Прием цветного лома / Прием чермета")</f>
        <v/>
      </c>
      <c r="D64" s="7" t="inlineStr">
        <is>
          <t>Старая Русса, ул. Кириллова</t>
        </is>
      </c>
      <c r="E64" s="15">
        <f>HYPERLINK("https://www.avito.ru/staraya_russa/uslugi/priem_loma_priem_tsvetnogo_loma_priem_chermeta_8023108025","8023108025")</f>
        <v/>
      </c>
    </row>
    <row r="65">
      <c r="A65" s="4" t="inlineStr"/>
      <c r="B65" s="6" t="inlineStr">
        <is>
          <t>Общее</t>
        </is>
      </c>
      <c r="C65" s="5">
        <f>HYPERLINK("https://www.avito.ru/velikiy_ustyug/uslugi/priem_metalla_sdat_lom_vyvoz_loma_8023566447","Приём металла /Сдать лом / Вывоз лома")</f>
        <v/>
      </c>
      <c r="D65" s="7" t="inlineStr">
        <is>
          <t>Великий Устюг, Советский пр-т, 3</t>
        </is>
      </c>
      <c r="E65" s="15">
        <f>HYPERLINK("https://www.avito.ru/velikiy_ustyug/uslugi/priem_metalla_sdat_lom_vyvoz_loma_8023566447","8023566447")</f>
        <v/>
      </c>
    </row>
    <row r="66">
      <c r="A66" s="4" t="inlineStr"/>
      <c r="B66" s="6" t="inlineStr">
        <is>
          <t>Цветмет</t>
        </is>
      </c>
      <c r="C66" s="5">
        <f>HYPERLINK("https://www.avito.ru/velikiy_novgorod/uslugi/priem_loma_priem_tsvetnogo_loma_priem_chermeta_8023655536","Прием лома / Прием цветного лома / Прием чермета")</f>
        <v/>
      </c>
      <c r="D66" s="7" t="inlineStr">
        <is>
          <t>Великий Новгород, Донецкий район, Студенческая ул., 20</t>
        </is>
      </c>
      <c r="E66" s="15">
        <f>HYPERLINK("https://www.avito.ru/velikiy_novgorod/uslugi/priem_loma_priem_tsvetnogo_loma_priem_chermeta_8023655536","8023655536")</f>
        <v/>
      </c>
    </row>
    <row r="67">
      <c r="A67" s="4" t="inlineStr"/>
      <c r="B67" s="6" t="inlineStr">
        <is>
          <t>РЗМ</t>
        </is>
      </c>
      <c r="C67" s="5">
        <f>HYPERLINK("https://www.avito.ru/sankt-peterburg/uslugi/sdat_olovyannyy_pripoy_sdat_olovo_7703399321","Сдать Оловянный Припой / Сдать Олово")</f>
        <v/>
      </c>
      <c r="D67" s="7" t="inlineStr">
        <is>
          <t>Санкт-Петербург, 2 линия – Московско-Петроградская</t>
        </is>
      </c>
      <c r="E67" s="15">
        <f>HYPERLINK("https://www.avito.ru/sankt-peterburg/uslugi/sdat_olovyannyy_pripoy_sdat_olovo_7703399321","7703399321")</f>
        <v/>
      </c>
    </row>
    <row r="68">
      <c r="A68" s="4" t="inlineStr"/>
      <c r="B68" s="6" t="inlineStr">
        <is>
          <t>Общее</t>
        </is>
      </c>
      <c r="C68" s="5">
        <f>HYPERLINK("https://www.avito.ru/nevel/uslugi/priem_metalloloma_vyvoz_metalloloma_8023260930","Прием металлолома/ Вывоз металлолома")</f>
        <v/>
      </c>
      <c r="D68" s="7" t="inlineStr">
        <is>
          <t>Невель, ул. Урицкого, 116</t>
        </is>
      </c>
      <c r="E68" s="15">
        <f>HYPERLINK("https://www.avito.ru/nevel/uslugi/priem_metalloloma_vyvoz_metalloloma_8023260930","8023260930")</f>
        <v/>
      </c>
    </row>
    <row r="69">
      <c r="A69" s="4" t="inlineStr"/>
      <c r="B69" s="6" t="inlineStr">
        <is>
          <t>Чермет</t>
        </is>
      </c>
      <c r="C69" s="5">
        <f>HYPERLINK("https://www.avito.ru/novodvinsk/uslugi/priem_metalloloma_priem_chernogo_loma_8023712712","Прием металлолома / Прием черного лома")</f>
        <v/>
      </c>
      <c r="D69" s="7" t="inlineStr">
        <is>
          <t>Новодвинск, ул. Фронтовых Бригад, 12</t>
        </is>
      </c>
      <c r="E69" s="15">
        <f>HYPERLINK("https://www.avito.ru/novodvinsk/uslugi/priem_metalloloma_priem_chernogo_loma_8023712712","8023712712")</f>
        <v/>
      </c>
    </row>
    <row r="70">
      <c r="A70" s="4" t="inlineStr"/>
      <c r="B70" s="6" t="inlineStr">
        <is>
          <t>Общее</t>
        </is>
      </c>
      <c r="C70" s="5">
        <f>HYPERLINK("https://www.avito.ru/sankt-peterburg/uslugi/priem_metalloloma_skupka_metalla_8023361448","Прием металлолома / Скупка металла")</f>
        <v/>
      </c>
      <c r="D70" s="7" t="inlineStr">
        <is>
          <t>Санкт-Петербург, пр-т Просвещения, 19</t>
        </is>
      </c>
      <c r="E70" s="15">
        <f>HYPERLINK("https://www.avito.ru/sankt-peterburg/uslugi/priem_metalloloma_skupka_metalla_8023361448","8023361448")</f>
        <v/>
      </c>
    </row>
    <row r="71">
      <c r="A71" s="4" t="inlineStr"/>
      <c r="B71" s="6" t="inlineStr">
        <is>
          <t>Общее</t>
        </is>
      </c>
      <c r="C71" s="5">
        <f>HYPERLINK("https://www.avito.ru/novodvinsk/uslugi/priem_metalla_demontazh_priem_metalloloma_8023575004","Прием металла / Демонтаж / Прием металлолома")</f>
        <v/>
      </c>
      <c r="D71" s="7" t="inlineStr">
        <is>
          <t>Новодвинск, ул. Фронтовых Бригад, 12</t>
        </is>
      </c>
      <c r="E71" s="15">
        <f>HYPERLINK("https://www.avito.ru/novodvinsk/uslugi/priem_metalla_demontazh_priem_metalloloma_8023575004","8023575004")</f>
        <v/>
      </c>
    </row>
    <row r="72">
      <c r="A72" s="4" t="inlineStr"/>
      <c r="B72" s="6" t="inlineStr">
        <is>
          <t>Цветмет</t>
        </is>
      </c>
      <c r="C72" s="5">
        <f>HYPERLINK("https://www.avito.ru/volhov/uslugi/priem_metalloloma_priem_tsvetnogo_loma_8023852082","Прием металлолома / Прием цветного лома")</f>
        <v/>
      </c>
      <c r="D72" s="7" t="inlineStr">
        <is>
          <t>Волхов, Новгородская ул., 7</t>
        </is>
      </c>
      <c r="E72" s="15">
        <f>HYPERLINK("https://www.avito.ru/volhov/uslugi/priem_metalloloma_priem_tsvetnogo_loma_8023852082","8023852082")</f>
        <v/>
      </c>
    </row>
    <row r="73">
      <c r="A73" s="4" t="inlineStr"/>
      <c r="B73" s="6" t="inlineStr">
        <is>
          <t>РЗМ</t>
        </is>
      </c>
      <c r="C73" s="5">
        <f>HYPERLINK("https://www.avito.ru/sankt-peterburg/uslugi/sdat_babbit_olovo_redkiy_metall_7703458972","Сдать Баббит / Олово/ Редкий металл")</f>
        <v/>
      </c>
      <c r="D73" s="7" t="inlineStr">
        <is>
          <t>Санкт-Петербург, ул. Одоевского, 29</t>
        </is>
      </c>
      <c r="E73" s="15">
        <f>HYPERLINK("https://www.avito.ru/sankt-peterburg/uslugi/sdat_babbit_olovo_redkiy_metall_7703458972","7703458972")</f>
        <v/>
      </c>
    </row>
    <row r="74">
      <c r="A74" s="4" t="inlineStr"/>
      <c r="B74" s="6" t="inlineStr">
        <is>
          <t>Чермет</t>
        </is>
      </c>
      <c r="C74" s="5">
        <f>HYPERLINK("https://www.avito.ru/babaevo/uslugi/priem_metalloloma_priem_chernogo_loma_8023186929","Прием металлолома / Прием черного лома")</f>
        <v/>
      </c>
      <c r="D74" s="7" t="inlineStr">
        <is>
          <t>Бабаево, Северная ул., 56</t>
        </is>
      </c>
      <c r="E74" s="15">
        <f>HYPERLINK("https://www.avito.ru/babaevo/uslugi/priem_metalloloma_priem_chernogo_loma_8023186929","8023186929")</f>
        <v/>
      </c>
    </row>
    <row r="75">
      <c r="A75" s="4" t="inlineStr"/>
      <c r="B75" s="6" t="inlineStr">
        <is>
          <t>Цветмет</t>
        </is>
      </c>
      <c r="C75" s="5">
        <f>HYPERLINK("https://www.avito.ru/velikiy_novgorod/uslugi/priem_metalloloma_priem_tsvetnogo_loma_8023691050","Прием металлолома / Прием цветного лома")</f>
        <v/>
      </c>
      <c r="D75" s="7" t="inlineStr">
        <is>
          <t>Великий Новгород, Донецкий район, Студенческая ул., 20</t>
        </is>
      </c>
      <c r="E75" s="15">
        <f>HYPERLINK("https://www.avito.ru/velikiy_novgorod/uslugi/priem_metalloloma_priem_tsvetnogo_loma_8023691050","8023691050")</f>
        <v/>
      </c>
    </row>
    <row r="76">
      <c r="A76" s="4" t="inlineStr"/>
      <c r="B76" s="6" t="inlineStr">
        <is>
          <t>Общее</t>
        </is>
      </c>
      <c r="C76" s="5">
        <f>HYPERLINK("https://www.avito.ru/cherepovets/uslugi/priem_metalloloma_skupka_metalla_8023232933","Прием металлолома / Скупка металла")</f>
        <v/>
      </c>
      <c r="D76" s="7" t="inlineStr">
        <is>
          <t>Череповец, Северное ш., 71А</t>
        </is>
      </c>
      <c r="E76" s="15">
        <f>HYPERLINK("https://www.avito.ru/cherepovets/uslugi/priem_metalloloma_skupka_metalla_8023232933","8023232933")</f>
        <v/>
      </c>
    </row>
    <row r="77">
      <c r="A77" s="4" t="inlineStr"/>
      <c r="B77" s="6" t="inlineStr">
        <is>
          <t>Общее</t>
        </is>
      </c>
      <c r="C77" s="5">
        <f>HYPERLINK("https://www.avito.ru/vologodskaya_oblast_sokol/uslugi/priem_metalloloma_demontazh_priem_metalla_8023572584","Прием металлолома / Демонтаж / Прием металла")</f>
        <v/>
      </c>
      <c r="D77" s="7" t="inlineStr">
        <is>
          <t>Сокол, Советская ул., 122Б</t>
        </is>
      </c>
      <c r="E77" s="15">
        <f>HYPERLINK("https://www.avito.ru/vologodskaya_oblast_sokol/uslugi/priem_metalloloma_demontazh_priem_metalla_8023572584","8023572584")</f>
        <v/>
      </c>
    </row>
    <row r="78">
      <c r="A78" s="4" t="inlineStr"/>
      <c r="B78" s="6" t="inlineStr">
        <is>
          <t>Цветмет</t>
        </is>
      </c>
      <c r="C78" s="5">
        <f>HYPERLINK("https://www.avito.ru/arhangelsk/uslugi/priem_tsvetnogo_metalloloma_8023675015","Прием цветного металлолома")</f>
        <v/>
      </c>
      <c r="D78" s="7" t="inlineStr">
        <is>
          <t>Архангельск, ул. Октябрят, 27к3</t>
        </is>
      </c>
      <c r="E78" s="15">
        <f>HYPERLINK("https://www.avito.ru/arhangelsk/uslugi/priem_tsvetnogo_metalloloma_8023675015","8023675015")</f>
        <v/>
      </c>
    </row>
    <row r="79">
      <c r="A79" s="4" t="inlineStr"/>
      <c r="B79" s="6" t="inlineStr">
        <is>
          <t>Общее</t>
        </is>
      </c>
      <c r="C79" s="5">
        <f>HYPERLINK("https://www.avito.ru/kipen/uslugi/priem_metalloloma_vyvoz_metalloloma_8023683930","Прием металлолома/ Вывоз металлолома")</f>
        <v/>
      </c>
      <c r="D79" s="7" t="inlineStr">
        <is>
          <t>д. Кипень, Ропшинское ш., 66</t>
        </is>
      </c>
      <c r="E79" s="15">
        <f>HYPERLINK("https://www.avito.ru/kipen/uslugi/priem_metalloloma_vyvoz_metalloloma_8023683930","8023683930")</f>
        <v/>
      </c>
    </row>
    <row r="80">
      <c r="A80" s="4" t="inlineStr"/>
      <c r="B80" s="6" t="inlineStr">
        <is>
          <t>Цветмет</t>
        </is>
      </c>
      <c r="C80" s="5">
        <f>HYPERLINK("https://www.avito.ru/boksitogorsk/uslugi/priem_tsvetnogo_metalloloma_8023801800","Прием цветного металлолома")</f>
        <v/>
      </c>
      <c r="D80" s="7" t="inlineStr">
        <is>
          <t>Бокситогорск, Дымское ш., 1</t>
        </is>
      </c>
      <c r="E80" s="15">
        <f>HYPERLINK("https://www.avito.ru/boksitogorsk/uslugi/priem_tsvetnogo_metalloloma_8023801800","8023801800")</f>
        <v/>
      </c>
    </row>
    <row r="81">
      <c r="A81" s="4" t="inlineStr"/>
      <c r="B81" s="6" t="inlineStr">
        <is>
          <t>Чермет</t>
        </is>
      </c>
      <c r="C81" s="5">
        <f>HYPERLINK("https://www.avito.ru/vsevolozhsk/uslugi/priem_metalloloma_priem_chernogo_loma_8023893419","Прием металлолома / Прием черного лома")</f>
        <v/>
      </c>
      <c r="D81" s="7" t="inlineStr">
        <is>
          <t>Всеволожск, Лиственная ул., 16</t>
        </is>
      </c>
      <c r="E81" s="15">
        <f>HYPERLINK("https://www.avito.ru/vsevolozhsk/uslugi/priem_metalloloma_priem_chernogo_loma_8023893419","8023893419")</f>
        <v/>
      </c>
    </row>
    <row r="82">
      <c r="A82" s="4" t="inlineStr"/>
      <c r="B82" s="6" t="inlineStr">
        <is>
          <t>Цветмет</t>
        </is>
      </c>
      <c r="C82" s="5">
        <f>HYPERLINK("https://www.avito.ru/kirishi/uslugi/priem_loma_tsvetnyh_metallov_8023447065","Прием лома цветных металлов")</f>
        <v/>
      </c>
      <c r="D82" s="7" t="inlineStr">
        <is>
          <t>Кириши, ш. Энтузиастов, 6А</t>
        </is>
      </c>
      <c r="E82" s="15">
        <f>HYPERLINK("https://www.avito.ru/kirishi/uslugi/priem_loma_tsvetnyh_metallov_8023447065","8023447065")</f>
        <v/>
      </c>
    </row>
    <row r="83">
      <c r="A83" s="4" t="inlineStr"/>
      <c r="B83" s="6" t="inlineStr">
        <is>
          <t>Цветмет</t>
        </is>
      </c>
      <c r="C83" s="5">
        <f>HYPERLINK("https://www.avito.ru/babaevo/uslugi/priem_metalloloma_priem_tsvetnogo_loma_8023479683","Прием металлолома / Прием цветного лома")</f>
        <v/>
      </c>
      <c r="D83" s="7" t="inlineStr">
        <is>
          <t>Бабаево, Северная ул., 56</t>
        </is>
      </c>
      <c r="E83" s="15">
        <f>HYPERLINK("https://www.avito.ru/babaevo/uslugi/priem_metalloloma_priem_tsvetnogo_loma_8023479683","8023479683")</f>
        <v/>
      </c>
    </row>
    <row r="84">
      <c r="A84" s="4" t="inlineStr"/>
      <c r="B84" s="6" t="inlineStr">
        <is>
          <t>Общее</t>
        </is>
      </c>
      <c r="C84" s="5">
        <f>HYPERLINK("https://www.avito.ru/sankt-peterburg/uslugi/priem_metalla_sdat_lom_vyvoz_loma_8023505295","Приём металла /Сдать лом / Вывоз лома")</f>
        <v/>
      </c>
      <c r="D84" s="7" t="inlineStr">
        <is>
          <t>Санкт-Петербург, ул. Савушкина, 2</t>
        </is>
      </c>
      <c r="E84" s="15">
        <f>HYPERLINK("https://www.avito.ru/sankt-peterburg/uslugi/priem_metalla_sdat_lom_vyvoz_loma_8023505295","8023505295")</f>
        <v/>
      </c>
    </row>
    <row r="85">
      <c r="A85" s="4" t="inlineStr"/>
      <c r="B85" s="6" t="inlineStr">
        <is>
          <t>Общее</t>
        </is>
      </c>
      <c r="C85" s="5">
        <f>HYPERLINK("https://www.avito.ru/ostrov/uslugi/priem_metalloloma_demontazh_vyvoz_metalla_8023553842","Прием металлолома / Демонтаж / Вывоз металла")</f>
        <v/>
      </c>
      <c r="D85" s="7" t="inlineStr">
        <is>
          <t>Остров, ул. Карла Маркса, 90Б</t>
        </is>
      </c>
      <c r="E85" s="15">
        <f>HYPERLINK("https://www.avito.ru/ostrov/uslugi/priem_metalloloma_demontazh_vyvoz_metalla_8023553842","8023553842")</f>
        <v/>
      </c>
    </row>
    <row r="86">
      <c r="A86" s="4" t="inlineStr"/>
      <c r="B86" s="6" t="inlineStr">
        <is>
          <t>Цветмет</t>
        </is>
      </c>
      <c r="C86" s="5">
        <f>HYPERLINK("https://www.avito.ru/ivangorod/uslugi/priem_loma_tsvetnyh_metallov_8023847196","Прием лома цветных металлов")</f>
        <v/>
      </c>
      <c r="D86" s="7" t="inlineStr">
        <is>
          <t>Ивангород, Кингисеппское ш.</t>
        </is>
      </c>
      <c r="E86" s="15">
        <f>HYPERLINK("https://www.avito.ru/ivangorod/uslugi/priem_loma_tsvetnyh_metallov_8023847196","8023847196")</f>
        <v/>
      </c>
    </row>
    <row r="87">
      <c r="A87" s="4" t="inlineStr"/>
      <c r="B87" s="6" t="inlineStr">
        <is>
          <t>Чермет</t>
        </is>
      </c>
      <c r="C87" s="5">
        <f>HYPERLINK("https://www.avito.ru/severodvinsk/uslugi/priem_metalloloma_priem_chernogo_loma_8023162232","Прием металлолома / Прием черного лома")</f>
        <v/>
      </c>
      <c r="D87" s="7" t="inlineStr">
        <is>
          <t>Северодвинск, Ягринское ш., 2А</t>
        </is>
      </c>
      <c r="E87" s="15">
        <f>HYPERLINK("https://www.avito.ru/severodvinsk/uslugi/priem_metalloloma_priem_chernogo_loma_8023162232","8023162232")</f>
        <v/>
      </c>
    </row>
    <row r="88">
      <c r="A88" s="4" t="inlineStr"/>
      <c r="B88" s="6" t="inlineStr">
        <is>
          <t>Общее</t>
        </is>
      </c>
      <c r="C88" s="5">
        <f>HYPERLINK("https://www.avito.ru/sankt-peterburg/uslugi/priem_metalla_demontazh_priem_metalloloma_8023306105","Прием металла / Демонтаж / Прием металлолома")</f>
        <v/>
      </c>
      <c r="D88" s="7" t="inlineStr">
        <is>
          <t>Санкт-Петербург, Центральный район, Кирпичный пер., 1</t>
        </is>
      </c>
      <c r="E88" s="15">
        <f>HYPERLINK("https://www.avito.ru/sankt-peterburg/uslugi/priem_metalla_demontazh_priem_metalloloma_8023306105","8023306105")</f>
        <v/>
      </c>
    </row>
    <row r="89">
      <c r="A89" s="4" t="inlineStr"/>
      <c r="B89" s="6" t="inlineStr">
        <is>
          <t>Чермет</t>
        </is>
      </c>
      <c r="C89" s="5">
        <f>HYPERLINK("https://www.avito.ru/kommynary/uslugi/priem_metalloloma_priem_chernogo_loma_8023020949","Прием металлолома / Прием черного лома")</f>
        <v/>
      </c>
      <c r="D89" s="7" t="inlineStr">
        <is>
          <t>пос. Коммунары, Центральная ул.</t>
        </is>
      </c>
      <c r="E89" s="15">
        <f>HYPERLINK("https://www.avito.ru/kommynary/uslugi/priem_metalloloma_priem_chernogo_loma_8023020949","8023020949")</f>
        <v/>
      </c>
    </row>
    <row r="90">
      <c r="A90" s="4" t="inlineStr"/>
      <c r="B90" s="6" t="inlineStr">
        <is>
          <t>Общее</t>
        </is>
      </c>
      <c r="C90" s="5">
        <f>HYPERLINK("https://www.avito.ru/sankt-peterburg/uslugi/priem_metalloloma_demontazh_vyvoz_metalla_8023096314","Прием металлолома / Демонтаж / Вывоз металла")</f>
        <v/>
      </c>
      <c r="D90" s="7" t="inlineStr">
        <is>
          <t>Санкт-Петербург, б-р Новаторов, 73к4А</t>
        </is>
      </c>
      <c r="E90" s="15">
        <f>HYPERLINK("https://www.avito.ru/sankt-peterburg/uslugi/priem_metalloloma_demontazh_vyvoz_metalla_8023096314","8023096314")</f>
        <v/>
      </c>
    </row>
    <row r="91">
      <c r="A91" s="4" t="inlineStr"/>
      <c r="B91" s="6" t="inlineStr">
        <is>
          <t>Чермет</t>
        </is>
      </c>
      <c r="C91" s="5">
        <f>HYPERLINK("https://www.avito.ru/leningradskaya_oblast_sosnovyy_bor/uslugi/priem_metalloloma_priem_chernogo_loma_8023257260","Прием металлолома / Прием черного лома")</f>
        <v/>
      </c>
      <c r="D91" s="7" t="inlineStr">
        <is>
          <t>Сосновый Бор, Ракопежское ш., 32</t>
        </is>
      </c>
      <c r="E91" s="15">
        <f>HYPERLINK("https://www.avito.ru/leningradskaya_oblast_sosnovyy_bor/uslugi/priem_metalloloma_priem_chernogo_loma_8023257260","8023257260")</f>
        <v/>
      </c>
    </row>
    <row r="92">
      <c r="A92" s="4" t="inlineStr"/>
      <c r="B92" s="6" t="inlineStr">
        <is>
          <t>Чермет</t>
        </is>
      </c>
      <c r="C92" s="5">
        <f>HYPERLINK("https://www.avito.ru/tosno/uslugi/priem_metalloloma_priem_chernogo_loma_8023523582","Прием металлолома / Прием черного лома")</f>
        <v/>
      </c>
      <c r="D92" s="7" t="inlineStr">
        <is>
          <t>Тосно, Октябрьская ул., 125Л</t>
        </is>
      </c>
      <c r="E92" s="15">
        <f>HYPERLINK("https://www.avito.ru/tosno/uslugi/priem_metalloloma_priem_chernogo_loma_8023523582","8023523582")</f>
        <v/>
      </c>
    </row>
    <row r="93">
      <c r="A93" s="4" t="inlineStr"/>
      <c r="B93" s="6" t="inlineStr">
        <is>
          <t>Общее</t>
        </is>
      </c>
      <c r="C93" s="5">
        <f>HYPERLINK("https://www.avito.ru/luga/uslugi/priem_metalloloma_priem_loma_demontazh_8023531222","Прием металлолома / Прием лома / Демонтаж")</f>
        <v/>
      </c>
      <c r="D93" s="7" t="inlineStr">
        <is>
          <t>Луга, Старорусская ул., 13Г</t>
        </is>
      </c>
      <c r="E93" s="15">
        <f>HYPERLINK("https://www.avito.ru/luga/uslugi/priem_metalloloma_priem_loma_demontazh_8023531222","8023531222")</f>
        <v/>
      </c>
    </row>
    <row r="94">
      <c r="A94" s="4" t="inlineStr"/>
      <c r="B94" s="6" t="inlineStr">
        <is>
          <t>Цветмет</t>
        </is>
      </c>
      <c r="C94" s="5">
        <f>HYPERLINK("https://www.avito.ru/gryazovets/uslugi/priem_tsvetnogo_metalloloma_8023774238","Прием цветного металлолома")</f>
        <v/>
      </c>
      <c r="D94" s="7" t="inlineStr">
        <is>
          <t>Грязовец, ул. Волкова, 11/2</t>
        </is>
      </c>
      <c r="E94" s="15">
        <f>HYPERLINK("https://www.avito.ru/gryazovets/uslugi/priem_tsvetnogo_metalloloma_8023774238","8023774238")</f>
        <v/>
      </c>
    </row>
    <row r="95">
      <c r="A95" s="4" t="inlineStr"/>
      <c r="B95" s="6" t="inlineStr">
        <is>
          <t>Общее</t>
        </is>
      </c>
      <c r="C95" s="5">
        <f>HYPERLINK("https://www.avito.ru/slantsy/uslugi/priem_i_vyvoz_metalloloma_sdat_lom_8023825946","Прием и вывоз металлолома / Сдать лом")</f>
        <v/>
      </c>
      <c r="D95" s="7" t="inlineStr">
        <is>
          <t>Сланцы, Сланцевское ш., 32Б</t>
        </is>
      </c>
      <c r="E95" s="15">
        <f>HYPERLINK("https://www.avito.ru/slantsy/uslugi/priem_i_vyvoz_metalloloma_sdat_lom_8023825946","8023825946")</f>
        <v/>
      </c>
    </row>
    <row r="96">
      <c r="A96" s="4" t="inlineStr"/>
      <c r="B96" s="6" t="inlineStr">
        <is>
          <t>Чермет</t>
        </is>
      </c>
      <c r="C96" s="5">
        <f>HYPERLINK("https://www.avito.ru/kaduy/uslugi/priem_metalloloma_priem_chernogo_loma_8022914664","Прием металлолома / Прием черного лома")</f>
        <v/>
      </c>
      <c r="D96" s="7" t="inlineStr">
        <is>
          <t>рп. Кадуй, Советская ул., 3</t>
        </is>
      </c>
      <c r="E96" s="15">
        <f>HYPERLINK("https://www.avito.ru/kaduy/uslugi/priem_metalloloma_priem_chernogo_loma_8022914664","8022914664")</f>
        <v/>
      </c>
    </row>
    <row r="97">
      <c r="A97" s="4" t="inlineStr"/>
      <c r="B97" s="6" t="inlineStr">
        <is>
          <t>Общее</t>
        </is>
      </c>
      <c r="C97" s="5">
        <f>HYPERLINK("https://www.avito.ru/sankt-peterburg/uslugi/priem_metalla_sdat_lom_vyvoz_loma_8022960985","Приём металла /Сдать лом / Вывоз лома")</f>
        <v/>
      </c>
      <c r="D97" s="7" t="inlineStr">
        <is>
          <t>Санкт-Петербург, пр-т Стачек, 70</t>
        </is>
      </c>
      <c r="E97" s="15">
        <f>HYPERLINK("https://www.avito.ru/sankt-peterburg/uslugi/priem_metalla_sdat_lom_vyvoz_loma_8022960985","8022960985")</f>
        <v/>
      </c>
    </row>
    <row r="98">
      <c r="A98" s="4" t="inlineStr"/>
      <c r="B98" s="6" t="inlineStr">
        <is>
          <t>Цветмет</t>
        </is>
      </c>
      <c r="C98" s="5">
        <f>HYPERLINK("https://www.avito.ru/nevel/uslugi/priem_metalloloma_priem_tsvetnogo_loma_8022976531","Прием металлолома / Прием цветного лома")</f>
        <v/>
      </c>
      <c r="D98" s="7" t="inlineStr">
        <is>
          <t>Невель, ул. Урицкого, 116</t>
        </is>
      </c>
      <c r="E98" s="15">
        <f>HYPERLINK("https://www.avito.ru/nevel/uslugi/priem_metalloloma_priem_tsvetnogo_loma_8022976531","8022976531")</f>
        <v/>
      </c>
    </row>
    <row r="99">
      <c r="A99" s="4" t="inlineStr"/>
      <c r="B99" s="6" t="inlineStr">
        <is>
          <t>Общее</t>
        </is>
      </c>
      <c r="C99" s="5">
        <f>HYPERLINK("https://www.avito.ru/vologda/uslugi/priem_metalloloma_demontazh_vyvoz_metalla_8023240033","Прием металлолома / Демонтаж / Вывоз металла")</f>
        <v/>
      </c>
      <c r="D99" s="7" t="inlineStr">
        <is>
          <t>Вологда, ул. Чернышевского, 141А</t>
        </is>
      </c>
      <c r="E99" s="15">
        <f>HYPERLINK("https://www.avito.ru/vologda/uslugi/priem_metalloloma_demontazh_vyvoz_metalla_8023240033","8023240033")</f>
        <v/>
      </c>
    </row>
    <row r="100">
      <c r="A100" s="4" t="inlineStr"/>
      <c r="B100" s="6" t="inlineStr">
        <is>
          <t>Чермет</t>
        </is>
      </c>
      <c r="C100" s="5">
        <f>HYPERLINK("https://www.avito.ru/vytegra/uslugi/priem_metalloloma_priem_chernogo_loma_opt_8023402845","Прием металлолома / Прием черного лома опт")</f>
        <v/>
      </c>
      <c r="D100" s="7" t="inlineStr">
        <is>
          <t>Вытегра, Вологодская ул., 1</t>
        </is>
      </c>
      <c r="E100" s="15">
        <f>HYPERLINK("https://www.avito.ru/vytegra/uslugi/priem_metalloloma_priem_chernogo_loma_opt_8023402845","8023402845")</f>
        <v/>
      </c>
    </row>
    <row r="101">
      <c r="A101" s="4" t="inlineStr"/>
      <c r="B101" s="6" t="inlineStr">
        <is>
          <t>Цветмет</t>
        </is>
      </c>
      <c r="C101" s="5">
        <f>HYPERLINK("https://www.avito.ru/malaya_vishera/uslugi/priem_tsvetnogo_metalloloma_8023493224","Прием цветного металлолома")</f>
        <v/>
      </c>
      <c r="D101" s="7" t="inlineStr">
        <is>
          <t>Малая Вишера</t>
        </is>
      </c>
      <c r="E101" s="15">
        <f>HYPERLINK("https://www.avito.ru/malaya_vishera/uslugi/priem_tsvetnogo_metalloloma_8023493224","8023493224")</f>
        <v/>
      </c>
    </row>
    <row r="102">
      <c r="A102" s="4" t="inlineStr"/>
      <c r="B102" s="6" t="inlineStr">
        <is>
          <t>Цветмет</t>
        </is>
      </c>
      <c r="C102" s="5">
        <f>HYPERLINK("https://www.avito.ru/kaduy/uslugi/priem_loma_tsvetnyh_metallov_8023564698","Прием лома цветных металлов")</f>
        <v/>
      </c>
      <c r="D102" s="7" t="inlineStr">
        <is>
          <t>рп. Кадуй, Советская ул., 3</t>
        </is>
      </c>
      <c r="E102" s="15">
        <f>HYPERLINK("https://www.avito.ru/kaduy/uslugi/priem_loma_tsvetnyh_metallov_8023564698","8023564698")</f>
        <v/>
      </c>
    </row>
    <row r="103">
      <c r="A103" s="4" t="inlineStr"/>
      <c r="B103" s="6" t="inlineStr">
        <is>
          <t>Общее</t>
        </is>
      </c>
      <c r="C103" s="5">
        <f>HYPERLINK("https://www.avito.ru/sankt-peterburg/uslugi/priem_metalloloma_priem_loma_demontazh_8023567066","Прием металлолома / Прием лома / Демонтаж")</f>
        <v/>
      </c>
      <c r="D103" s="7" t="inlineStr">
        <is>
          <t>Санкт-Петербург, ул. Смолячкова, 21</t>
        </is>
      </c>
      <c r="E103" s="15">
        <f>HYPERLINK("https://www.avito.ru/sankt-peterburg/uslugi/priem_metalloloma_priem_loma_demontazh_8023567066","8023567066")</f>
        <v/>
      </c>
    </row>
    <row r="104">
      <c r="A104" s="4" t="inlineStr"/>
      <c r="B104" s="6" t="inlineStr">
        <is>
          <t>Чермет</t>
        </is>
      </c>
      <c r="C104" s="5">
        <f>HYPERLINK("https://www.avito.ru/chudovo/uslugi/priem_metalloloma_priem_chernogo_loma_opt_8023682037","Прием металлолома / Прием черного лома опт")</f>
        <v/>
      </c>
      <c r="D104" s="7" t="inlineStr">
        <is>
          <t>Чудово, ул. Губина, 1В</t>
        </is>
      </c>
      <c r="E104" s="15">
        <f>HYPERLINK("https://www.avito.ru/chudovo/uslugi/priem_metalloloma_priem_chernogo_loma_opt_8023682037","8023682037")</f>
        <v/>
      </c>
    </row>
    <row r="105">
      <c r="A105" s="4" t="inlineStr"/>
      <c r="B105" s="6" t="inlineStr">
        <is>
          <t>Цветмет</t>
        </is>
      </c>
      <c r="C105" s="5">
        <f>HYPERLINK("https://www.avito.ru/sankt-peterburg/uslugi/priem_loma_priem_tsvetnogo_loma_priem_chermeta_8023815080","Прием лома / Прием цветного лома / Прием чермета")</f>
        <v/>
      </c>
      <c r="D105" s="7" t="inlineStr">
        <is>
          <t>Санкт-Петербург, ул. Дыбенко, 26</t>
        </is>
      </c>
      <c r="E105" s="15">
        <f>HYPERLINK("https://www.avito.ru/sankt-peterburg/uslugi/priem_loma_priem_tsvetnogo_loma_priem_chermeta_8023815080","8023815080")</f>
        <v/>
      </c>
    </row>
    <row r="106">
      <c r="A106" s="4" t="inlineStr"/>
      <c r="B106" s="6" t="inlineStr">
        <is>
          <t>Цветмет</t>
        </is>
      </c>
      <c r="C106" s="5">
        <f>HYPERLINK("https://www.avito.ru/novodvinsk/uslugi/priem_loma_tsvetnyh_metallov_8023897028","Прием лома цветных металлов")</f>
        <v/>
      </c>
      <c r="D106" s="7" t="inlineStr">
        <is>
          <t>Новодвинск, ул. Фронтовых Бригад, 12</t>
        </is>
      </c>
      <c r="E106" s="15">
        <f>HYPERLINK("https://www.avito.ru/novodvinsk/uslugi/priem_loma_tsvetnyh_metallov_8023897028","8023897028")</f>
        <v/>
      </c>
    </row>
    <row r="107">
      <c r="A107" s="4" t="inlineStr"/>
      <c r="B107" s="6" t="inlineStr">
        <is>
          <t>Общее</t>
        </is>
      </c>
      <c r="C107" s="5">
        <f>HYPERLINK("https://www.avito.ru/sankt-peterburg/uslugi/priem_metalla_sdat_lom_vyvoz_loma_8023184338","Приём металла /Сдать лом / Вывоз лома")</f>
        <v/>
      </c>
      <c r="D107" s="7" t="inlineStr">
        <is>
          <t>Санкт-Петербург, пр-т Энгельса, 162Р</t>
        </is>
      </c>
      <c r="E107" s="15">
        <f>HYPERLINK("https://www.avito.ru/sankt-peterburg/uslugi/priem_metalla_sdat_lom_vyvoz_loma_8023184338","8023184338")</f>
        <v/>
      </c>
    </row>
    <row r="108">
      <c r="A108" s="4" t="inlineStr"/>
      <c r="B108" s="6" t="inlineStr">
        <is>
          <t>Чермет</t>
        </is>
      </c>
      <c r="C108" s="5">
        <f>HYPERLINK("https://www.avito.ru/arhangelsk/uslugi/priem_metalloloma_priem_chernogo_loma_opt_8023193315","Прием металлолома / Прием черного лома опт")</f>
        <v/>
      </c>
      <c r="D108" s="7" t="inlineStr">
        <is>
          <t>Архангельск, ул. Октябрят, 27к3</t>
        </is>
      </c>
      <c r="E108" s="15">
        <f>HYPERLINK("https://www.avito.ru/arhangelsk/uslugi/priem_metalloloma_priem_chernogo_loma_opt_8023193315","8023193315")</f>
        <v/>
      </c>
    </row>
    <row r="109">
      <c r="A109" s="4" t="inlineStr"/>
      <c r="B109" s="6" t="inlineStr">
        <is>
          <t>Цветмет</t>
        </is>
      </c>
      <c r="C109" s="5">
        <f>HYPERLINK("https://www.avito.ru/lodeynoe_pole/uslugi/priem_tsvetnogo_metalloloma_8023636668","Прием цветного металлолома")</f>
        <v/>
      </c>
      <c r="D109" s="7" t="inlineStr">
        <is>
          <t>Лодейное Поле</t>
        </is>
      </c>
      <c r="E109" s="15">
        <f>HYPERLINK("https://www.avito.ru/lodeynoe_pole/uslugi/priem_tsvetnogo_metalloloma_8023636668","8023636668")</f>
        <v/>
      </c>
    </row>
    <row r="110">
      <c r="A110" s="4" t="inlineStr"/>
      <c r="B110" s="6" t="inlineStr">
        <is>
          <t>Чермет</t>
        </is>
      </c>
      <c r="C110" s="5">
        <f>HYPERLINK("https://www.avito.ru/gostilitsy/uslugi/priem_metalloloma_priem_chernogo_loma_opt_8023701510","Прием металлолома / Прием черного лома опт")</f>
        <v/>
      </c>
      <c r="D110" s="7" t="inlineStr">
        <is>
          <t>д. Оржицы</t>
        </is>
      </c>
      <c r="E110" s="15">
        <f>HYPERLINK("https://www.avito.ru/gostilitsy/uslugi/priem_metalloloma_priem_chernogo_loma_opt_8023701510","8023701510")</f>
        <v/>
      </c>
    </row>
    <row r="111">
      <c r="A111" s="4" t="inlineStr"/>
      <c r="B111" s="6" t="inlineStr">
        <is>
          <t>Цветмет</t>
        </is>
      </c>
      <c r="C111" s="5">
        <f>HYPERLINK("https://www.avito.ru/sertolovo/uslugi/priem_tsvetnogo_metalloloma_8023705532","Прием цветного металлолома")</f>
        <v/>
      </c>
      <c r="D111" s="7" t="inlineStr">
        <is>
          <t>Сертолово, Песочная ул., 8к1</t>
        </is>
      </c>
      <c r="E111" s="15">
        <f>HYPERLINK("https://www.avito.ru/sertolovo/uslugi/priem_tsvetnogo_metalloloma_8023705532","8023705532")</f>
        <v/>
      </c>
    </row>
    <row r="112">
      <c r="A112" s="4" t="inlineStr"/>
      <c r="B112" s="6" t="inlineStr">
        <is>
          <t>Общее</t>
        </is>
      </c>
      <c r="C112" s="5">
        <f>HYPERLINK("https://www.avito.ru/staraya_russa/uslugi/priem_i_vyvoz_metalloloma_sdat_lom_8023717938","Прием и вывоз металлолома / Сдать лом")</f>
        <v/>
      </c>
      <c r="D112" s="7" t="inlineStr">
        <is>
          <t>Старая Русса, ул. Кириллова</t>
        </is>
      </c>
      <c r="E112" s="15">
        <f>HYPERLINK("https://www.avito.ru/staraya_russa/uslugi/priem_i_vyvoz_metalloloma_sdat_lom_8023717938","8023717938")</f>
        <v/>
      </c>
    </row>
    <row r="113">
      <c r="A113" s="4" t="inlineStr"/>
      <c r="B113" s="6" t="inlineStr">
        <is>
          <t>РЗМ</t>
        </is>
      </c>
      <c r="C113" s="5">
        <f>HYPERLINK("https://www.avito.ru/sankt-peterburg/uslugi/priem_i_vyvoz_metalloloma_priem_redkih_metallov_8023797939","Прием и вывоз металлолома / Прием редких металлов")</f>
        <v/>
      </c>
      <c r="D113" s="7" t="inlineStr">
        <is>
          <t>Санкт-Петербург, Дворцовая пл.</t>
        </is>
      </c>
      <c r="E113" s="15">
        <f>HYPERLINK("https://www.avito.ru/sankt-peterburg/uslugi/priem_i_vyvoz_metalloloma_priem_redkih_metallov_8023797939","8023797939")</f>
        <v/>
      </c>
    </row>
    <row r="114">
      <c r="A114" s="4" t="inlineStr"/>
      <c r="B114" s="6" t="inlineStr">
        <is>
          <t>Общее</t>
        </is>
      </c>
      <c r="C114" s="5">
        <f>HYPERLINK("https://www.avito.ru/gryazovets/uslugi/priem_i_vyvoz_metalloloma_sdat_lom_8023830451","Прием и вывоз металлолома / Сдать лом")</f>
        <v/>
      </c>
      <c r="D114" s="7" t="inlineStr">
        <is>
          <t>Грязовец, ул. Волкова, 11/2</t>
        </is>
      </c>
      <c r="E114" s="15">
        <f>HYPERLINK("https://www.avito.ru/gryazovets/uslugi/priem_i_vyvoz_metalloloma_sdat_lom_8023830451","8023830451")</f>
        <v/>
      </c>
    </row>
    <row r="115">
      <c r="A115" s="4" t="inlineStr"/>
      <c r="B115" s="6" t="inlineStr">
        <is>
          <t>Цветмет</t>
        </is>
      </c>
      <c r="C115" s="5">
        <f>HYPERLINK("https://www.avito.ru/leningradskaya_oblast_sosnovyy_bor/uslugi/priem_loma_tsvetnyh_metallov_8023041146","Прием лома цветных металлов")</f>
        <v/>
      </c>
      <c r="D115" s="7" t="inlineStr">
        <is>
          <t>Сосновый Бор, Ракопежское ш., 32</t>
        </is>
      </c>
      <c r="E115" s="15">
        <f>HYPERLINK("https://www.avito.ru/leningradskaya_oblast_sosnovyy_bor/uslugi/priem_loma_tsvetnyh_metallov_8023041146","8023041146")</f>
        <v/>
      </c>
    </row>
    <row r="116">
      <c r="A116" s="4" t="inlineStr"/>
      <c r="B116" s="6" t="inlineStr">
        <is>
          <t>Чермет</t>
        </is>
      </c>
      <c r="C116" s="5">
        <f>HYPERLINK("https://www.avito.ru/tihvin/uslugi/priem_metalloloma_priem_chernogo_loma_8023213321","Прием металлолома / Прием черного лома")</f>
        <v/>
      </c>
      <c r="D116" s="7" t="inlineStr">
        <is>
          <t>Тихвин, Право-Вологодский тупик, 9</t>
        </is>
      </c>
      <c r="E116" s="15">
        <f>HYPERLINK("https://www.avito.ru/tihvin/uslugi/priem_metalloloma_priem_chernogo_loma_8023213321","8023213321")</f>
        <v/>
      </c>
    </row>
    <row r="117">
      <c r="A117" s="4" t="inlineStr"/>
      <c r="B117" s="6" t="inlineStr">
        <is>
          <t>Общее</t>
        </is>
      </c>
      <c r="C117" s="5">
        <f>HYPERLINK("https://www.avito.ru/sankt-peterburg/uslugi/priem_i_vyvoz_metalloloma_sdat_lom_8023243630","Прием и вывоз металлолома / Сдать лом")</f>
        <v/>
      </c>
      <c r="D117" s="7" t="inlineStr">
        <is>
          <t>Санкт-Петербург, Коломяжский пр-т, 24</t>
        </is>
      </c>
      <c r="E117" s="15">
        <f>HYPERLINK("https://www.avito.ru/sankt-peterburg/uslugi/priem_i_vyvoz_metalloloma_sdat_lom_8023243630","8023243630")</f>
        <v/>
      </c>
    </row>
    <row r="118">
      <c r="A118" s="4" t="inlineStr"/>
      <c r="B118" s="6" t="inlineStr">
        <is>
          <t>Чермет</t>
        </is>
      </c>
      <c r="C118" s="5">
        <f>HYPERLINK("https://www.avito.ru/sheksna/uslugi/priem_metalloloma_priem_chernogo_loma_8023257222","Прием металлолома / Прием черного лома")</f>
        <v/>
      </c>
      <c r="D118" s="7" t="inlineStr">
        <is>
          <t>рп. Шексна, ДОЗ ул.</t>
        </is>
      </c>
      <c r="E118" s="15">
        <f>HYPERLINK("https://www.avito.ru/sheksna/uslugi/priem_metalloloma_priem_chernogo_loma_8023257222","8023257222")</f>
        <v/>
      </c>
    </row>
    <row r="119">
      <c r="A119" s="4" t="inlineStr"/>
      <c r="B119" s="6" t="inlineStr">
        <is>
          <t>Чермет</t>
        </is>
      </c>
      <c r="C119" s="5">
        <f>HYPERLINK("https://www.avito.ru/sankt-peterburg/uslugi/priem_metalloloma_priem_chernogo_loma_opt_8023271188","Прием металлолома / Прием черного лома опт")</f>
        <v/>
      </c>
      <c r="D119" s="7" t="inlineStr">
        <is>
          <t>Санкт-Петербург, ул. Смолячкова, 21</t>
        </is>
      </c>
      <c r="E119" s="15">
        <f>HYPERLINK("https://www.avito.ru/sankt-peterburg/uslugi/priem_metalloloma_priem_chernogo_loma_opt_8023271188","8023271188")</f>
        <v/>
      </c>
    </row>
    <row r="120">
      <c r="A120" s="4" t="inlineStr"/>
      <c r="B120" s="6" t="inlineStr">
        <is>
          <t>Чермет</t>
        </is>
      </c>
      <c r="C120" s="5">
        <f>HYPERLINK("https://www.avito.ru/kirishi/uslugi/priem_metalloloma_priem_chernogo_loma_8023275447","Прием металлолома / Прием черного лома")</f>
        <v/>
      </c>
      <c r="D120" s="7" t="inlineStr">
        <is>
          <t>Кириши, ш. Энтузиастов, 6А</t>
        </is>
      </c>
      <c r="E120" s="15">
        <f>HYPERLINK("https://www.avito.ru/kirishi/uslugi/priem_metalloloma_priem_chernogo_loma_8023275447","8023275447")</f>
        <v/>
      </c>
    </row>
    <row r="121">
      <c r="A121" s="4" t="inlineStr"/>
      <c r="B121" s="6" t="inlineStr">
        <is>
          <t>Чермет</t>
        </is>
      </c>
      <c r="C121" s="5">
        <f>HYPERLINK("https://www.avito.ru/malaya_vishera/uslugi/priem_metalloloma_priem_chernogo_loma_opt_8023372446","Прием металлолома / Прием черного лома опт")</f>
        <v/>
      </c>
      <c r="D121" s="7" t="inlineStr">
        <is>
          <t>Малая Вишера</t>
        </is>
      </c>
      <c r="E121" s="15">
        <f>HYPERLINK("https://www.avito.ru/malaya_vishera/uslugi/priem_metalloloma_priem_chernogo_loma_opt_8023372446","8023372446")</f>
        <v/>
      </c>
    </row>
    <row r="122">
      <c r="A122" s="4" t="inlineStr"/>
      <c r="B122" s="6" t="inlineStr">
        <is>
          <t>Общее</t>
        </is>
      </c>
      <c r="C122" s="5">
        <f>HYPERLINK("https://www.avito.ru/severodvinsk/uslugi/priem_metalloloma_skupka_metalla_8023409596","Прием металлолома / Скупка металла")</f>
        <v/>
      </c>
      <c r="D122" s="7" t="inlineStr">
        <is>
          <t>Северодвинск, Ягринское ш., 2А</t>
        </is>
      </c>
      <c r="E122" s="15">
        <f>HYPERLINK("https://www.avito.ru/severodvinsk/uslugi/priem_metalloloma_skupka_metalla_8023409596","8023409596")</f>
        <v/>
      </c>
    </row>
    <row r="123">
      <c r="A123" s="4" t="inlineStr"/>
      <c r="B123" s="6" t="inlineStr">
        <is>
          <t>Цветмет</t>
        </is>
      </c>
      <c r="C123" s="5">
        <f>HYPERLINK("https://www.avito.ru/sankt-peterburg/uslugi/priem_tsvetnogo_metalloloma_8023512713","Прием цветного металлолома")</f>
        <v/>
      </c>
      <c r="D123" s="7" t="inlineStr">
        <is>
          <t>Санкт-Петербург, б-р Новаторов, 73к4А</t>
        </is>
      </c>
      <c r="E123" s="15">
        <f>HYPERLINK("https://www.avito.ru/sankt-peterburg/uslugi/priem_tsvetnogo_metalloloma_8023512713","8023512713")</f>
        <v/>
      </c>
    </row>
    <row r="124">
      <c r="A124" s="4" t="inlineStr"/>
      <c r="B124" s="6" t="inlineStr">
        <is>
          <t>Общее</t>
        </is>
      </c>
      <c r="C124" s="5">
        <f>HYPERLINK("https://www.avito.ru/sankt-peterburg/uslugi/priem_metalla_sdat_lom_vyvoz_loma_8023519224","Приём металла /Сдать лом / Вывоз лома")</f>
        <v/>
      </c>
      <c r="D124" s="7" t="inlineStr">
        <is>
          <t>Санкт-Петербург, Московская пл.</t>
        </is>
      </c>
      <c r="E124" s="15">
        <f>HYPERLINK("https://www.avito.ru/sankt-peterburg/uslugi/priem_metalla_sdat_lom_vyvoz_loma_8023519224","8023519224")</f>
        <v/>
      </c>
    </row>
    <row r="125">
      <c r="A125" s="4" t="inlineStr"/>
      <c r="B125" s="6" t="inlineStr">
        <is>
          <t>Цветмет</t>
        </is>
      </c>
      <c r="C125" s="5">
        <f>HYPERLINK("https://www.avito.ru/sankt-peterburg/uslugi/priem_metalloloma_priem_tsvetnogo_loma_8023615403","Прием металлолома / Прием цветного лома")</f>
        <v/>
      </c>
      <c r="D125" s="7" t="inlineStr">
        <is>
          <t>Санкт-Петербург, ул. Савушкина, 2</t>
        </is>
      </c>
      <c r="E125" s="15">
        <f>HYPERLINK("https://www.avito.ru/sankt-peterburg/uslugi/priem_metalloloma_priem_tsvetnogo_loma_8023615403","8023615403")</f>
        <v/>
      </c>
    </row>
    <row r="126">
      <c r="A126" s="4" t="inlineStr"/>
      <c r="B126" s="6" t="inlineStr">
        <is>
          <t>Цветмет</t>
        </is>
      </c>
      <c r="C126" s="5">
        <f>HYPERLINK("https://www.avito.ru/sankt-peterburg/uslugi/priem_loma_priem_tsvetnogo_loma_priem_chermeta_8023687533","Прием лома / Прием цветного лома / Прием чермета")</f>
        <v/>
      </c>
      <c r="D126" s="7" t="inlineStr">
        <is>
          <t>Санкт-Петербург, Гражданский пр-т, 116к1</t>
        </is>
      </c>
      <c r="E126" s="15">
        <f>HYPERLINK("https://www.avito.ru/sankt-peterburg/uslugi/priem_loma_priem_tsvetnogo_loma_priem_chermeta_8023687533","8023687533")</f>
        <v/>
      </c>
    </row>
    <row r="127">
      <c r="A127" s="4" t="inlineStr"/>
      <c r="B127" s="6" t="inlineStr">
        <is>
          <t>Цветмет</t>
        </is>
      </c>
      <c r="C127" s="5">
        <f>HYPERLINK("https://www.avito.ru/tajtsy/uslugi/priem_tsvetnogo_metalloloma_8023888615","Прием цветного металлолома")</f>
        <v/>
      </c>
      <c r="D127" s="7" t="inlineStr">
        <is>
          <t>городской пос. Тайцы, Советская ул.</t>
        </is>
      </c>
      <c r="E127" s="15">
        <f>HYPERLINK("https://www.avito.ru/tajtsy/uslugi/priem_tsvetnogo_metalloloma_8023888615","8023888615")</f>
        <v/>
      </c>
    </row>
    <row r="128">
      <c r="A128" s="4" t="inlineStr"/>
      <c r="B128" s="6" t="inlineStr">
        <is>
          <t>Цветмет</t>
        </is>
      </c>
      <c r="C128" s="5">
        <f>HYPERLINK("https://www.avito.ru/tosno/uslugi/priem_loma_tsvetnyh_metallov_8023060955","Прием лома цветных металлов")</f>
        <v/>
      </c>
      <c r="D128" s="7" t="inlineStr">
        <is>
          <t>Тосно, Октябрьская ул., 125Л</t>
        </is>
      </c>
      <c r="E128" s="15">
        <f>HYPERLINK("https://www.avito.ru/tosno/uslugi/priem_loma_tsvetnyh_metallov_8023060955","8023060955")</f>
        <v/>
      </c>
    </row>
    <row r="129">
      <c r="A129" s="4" t="inlineStr"/>
      <c r="B129" s="6" t="inlineStr">
        <is>
          <t>Чермет</t>
        </is>
      </c>
      <c r="C129" s="5">
        <f>HYPERLINK("https://www.avito.ru/cherepovets/uslugi/priem_metalloloma_priem_chernogo_loma_8023078274","Прием металлолома / Прием черного лома")</f>
        <v/>
      </c>
      <c r="D129" s="7" t="inlineStr">
        <is>
          <t>Череповец, Северное ш., 71А</t>
        </is>
      </c>
      <c r="E129" s="15">
        <f>HYPERLINK("https://www.avito.ru/cherepovets/uslugi/priem_metalloloma_priem_chernogo_loma_8023078274","8023078274")</f>
        <v/>
      </c>
    </row>
    <row r="130">
      <c r="A130" s="4" t="inlineStr"/>
      <c r="B130" s="6" t="inlineStr">
        <is>
          <t>Общее</t>
        </is>
      </c>
      <c r="C130" s="5">
        <f>HYPERLINK("https://www.avito.ru/sankt-peterburg/uslugi/priem_metalloloma_vyvoz_metalloloma_8023100844","Прием металлолома/ Вывоз металлолома")</f>
        <v/>
      </c>
      <c r="D130" s="7" t="inlineStr">
        <is>
          <t>Санкт-Петербург, Дворцовая пл.</t>
        </is>
      </c>
      <c r="E130" s="15">
        <f>HYPERLINK("https://www.avito.ru/sankt-peterburg/uslugi/priem_metalloloma_vyvoz_metalloloma_8023100844","8023100844")</f>
        <v/>
      </c>
    </row>
    <row r="131">
      <c r="A131" s="4" t="inlineStr"/>
      <c r="B131" s="6" t="inlineStr">
        <is>
          <t>Общее</t>
        </is>
      </c>
      <c r="C131" s="5">
        <f>HYPERLINK("https://www.avito.ru/vologodskaya_oblast_sokol/uslugi/priem_metalloloma_priem_loma_demontazh_8023153024","Прием металлолома / Прием лома / Демонтаж")</f>
        <v/>
      </c>
      <c r="D131" s="7" t="inlineStr">
        <is>
          <t>Сокол, Советская ул., 122Б</t>
        </is>
      </c>
      <c r="E131" s="15">
        <f>HYPERLINK("https://www.avito.ru/vologodskaya_oblast_sokol/uslugi/priem_metalloloma_priem_loma_demontazh_8023153024","8023153024")</f>
        <v/>
      </c>
    </row>
    <row r="132">
      <c r="A132" s="4" t="inlineStr"/>
      <c r="B132" s="6" t="inlineStr">
        <is>
          <t>Чермет</t>
        </is>
      </c>
      <c r="C132" s="5">
        <f>HYPERLINK("https://www.avito.ru/boksitogorsk/uslugi/priem_metalloloma_priem_chernogo_loma_opt_8023209808","Прием металлолома / Прием черного лома опт")</f>
        <v/>
      </c>
      <c r="D132" s="7" t="inlineStr">
        <is>
          <t>Бокситогорск, Дымское ш., 1</t>
        </is>
      </c>
      <c r="E132" s="15">
        <f>HYPERLINK("https://www.avito.ru/boksitogorsk/uslugi/priem_metalloloma_priem_chernogo_loma_opt_8023209808","8023209808")</f>
        <v/>
      </c>
    </row>
    <row r="133">
      <c r="A133" s="4" t="inlineStr"/>
      <c r="B133" s="6" t="inlineStr">
        <is>
          <t>Общее</t>
        </is>
      </c>
      <c r="C133" s="5">
        <f>HYPERLINK("https://www.avito.ru/lodeynoe_pole/uslugi/priem_metalloloma_demontazh_priem_metalla_8023243319","Прием металлолома / Демонтаж / Прием металла")</f>
        <v/>
      </c>
      <c r="D133" s="7" t="inlineStr">
        <is>
          <t>Лодейное Поле</t>
        </is>
      </c>
      <c r="E133" s="15">
        <f>HYPERLINK("https://www.avito.ru/lodeynoe_pole/uslugi/priem_metalloloma_demontazh_priem_metalla_8023243319","8023243319")</f>
        <v/>
      </c>
    </row>
    <row r="134">
      <c r="A134" s="4" t="inlineStr"/>
      <c r="B134" s="6" t="inlineStr">
        <is>
          <t>Общее</t>
        </is>
      </c>
      <c r="C134" s="5">
        <f>HYPERLINK("https://www.avito.ru/arhangelsk/uslugi/priem_metalloloma_skupka_metalla_8023306741","Прием металлолома / Скупка металла")</f>
        <v/>
      </c>
      <c r="D134" s="7" t="inlineStr">
        <is>
          <t>Архангельск, ул. Октябрят, 27к3</t>
        </is>
      </c>
      <c r="E134" s="15">
        <f>HYPERLINK("https://www.avito.ru/arhangelsk/uslugi/priem_metalloloma_skupka_metalla_8023306741","8023306741")</f>
        <v/>
      </c>
    </row>
    <row r="135">
      <c r="A135" s="4" t="inlineStr"/>
      <c r="B135" s="6" t="inlineStr">
        <is>
          <t>Цветмет</t>
        </is>
      </c>
      <c r="C135" s="5">
        <f>HYPERLINK("https://www.avito.ru/novaya_ladoga/uslugi/priem_tsvetnogo_metalloloma_8023328850","Прием цветного металлолома")</f>
        <v/>
      </c>
      <c r="D135" s="7" t="inlineStr">
        <is>
          <t>Новая Ладога, ул. Суворова, 53</t>
        </is>
      </c>
      <c r="E135" s="15">
        <f>HYPERLINK("https://www.avito.ru/novaya_ladoga/uslugi/priem_tsvetnogo_metalloloma_8023328850","8023328850")</f>
        <v/>
      </c>
    </row>
    <row r="136">
      <c r="A136" s="4" t="inlineStr"/>
      <c r="B136" s="6" t="inlineStr">
        <is>
          <t>Общее</t>
        </is>
      </c>
      <c r="C136" s="5">
        <f>HYPERLINK("https://www.avito.ru/leningradskaya_oblast_kirovsk/uslugi/priem_i_vyvoz_metalloloma_samovyvoz_loma_8023421453","Прием и вывоз металлолома / Самовывоз лома")</f>
        <v/>
      </c>
      <c r="D136" s="7" t="inlineStr">
        <is>
          <t>Кировск, Северная ул., 1В</t>
        </is>
      </c>
      <c r="E136" s="15">
        <f>HYPERLINK("https://www.avito.ru/leningradskaya_oblast_kirovsk/uslugi/priem_i_vyvoz_metalloloma_samovyvoz_loma_8023421453","8023421453")</f>
        <v/>
      </c>
    </row>
    <row r="137">
      <c r="A137" s="4" t="inlineStr"/>
      <c r="B137" s="6" t="inlineStr">
        <is>
          <t>Цветмет</t>
        </is>
      </c>
      <c r="C137" s="5">
        <f>HYPERLINK("https://www.avito.ru/vytegra/uslugi/priem_tsvetnogo_metalloloma_8023422459","Прием цветного металлолома")</f>
        <v/>
      </c>
      <c r="D137" s="7" t="inlineStr">
        <is>
          <t>Вытегра, Вологодская ул., 1</t>
        </is>
      </c>
      <c r="E137" s="15">
        <f>HYPERLINK("https://www.avito.ru/vytegra/uslugi/priem_tsvetnogo_metalloloma_8023422459","8023422459")</f>
        <v/>
      </c>
    </row>
    <row r="138">
      <c r="A138" s="4" t="inlineStr"/>
      <c r="B138" s="6" t="inlineStr">
        <is>
          <t>Общее</t>
        </is>
      </c>
      <c r="C138" s="5">
        <f>HYPERLINK("https://www.avito.ru/sankt-peterburg/uslugi/priem_metalloloma_demontazh_priem_metalla_8023461594","Прием металлолома / Демонтаж / Прием металла")</f>
        <v/>
      </c>
      <c r="D138" s="7" t="inlineStr">
        <is>
          <t>Санкт-Петербург, Коломяжский пр-т, 24</t>
        </is>
      </c>
      <c r="E138" s="15">
        <f>HYPERLINK("https://www.avito.ru/sankt-peterburg/uslugi/priem_metalloloma_demontazh_priem_metalla_8023461594","8023461594")</f>
        <v/>
      </c>
    </row>
    <row r="139">
      <c r="A139" s="4" t="inlineStr"/>
      <c r="B139" s="6" t="inlineStr">
        <is>
          <t>Общее</t>
        </is>
      </c>
      <c r="C139" s="5">
        <f>HYPERLINK("https://www.avito.ru/kingisepp/uslugi/priem_i_vyvoz_metalloloma_sdat_lom_8023603032","Прием и вывоз металлолома / Сдать лом")</f>
        <v/>
      </c>
      <c r="D139" s="7" t="inlineStr">
        <is>
          <t>Кингисепп, ул. Дорожников, 35</t>
        </is>
      </c>
      <c r="E139" s="15">
        <f>HYPERLINK("https://www.avito.ru/kingisepp/uslugi/priem_i_vyvoz_metalloloma_sdat_lom_8023603032","8023603032")</f>
        <v/>
      </c>
    </row>
    <row r="140">
      <c r="A140" s="4" t="inlineStr"/>
      <c r="B140" s="6" t="inlineStr">
        <is>
          <t>Цветмет</t>
        </is>
      </c>
      <c r="C140" s="5">
        <f>HYPERLINK("https://www.avito.ru/gatchina/uslugi/priem_metalloloma_priem_tsvetnogo_loma_8023656259","Прием металлолома / Прием цветного лома")</f>
        <v/>
      </c>
      <c r="D140" s="7" t="inlineStr">
        <is>
          <t>Гатчина, ул. Старая Дорога, 2</t>
        </is>
      </c>
      <c r="E140" s="15">
        <f>HYPERLINK("https://www.avito.ru/gatchina/uslugi/priem_metalloloma_priem_tsvetnogo_loma_8023656259","8023656259")</f>
        <v/>
      </c>
    </row>
    <row r="141">
      <c r="A141" s="4" t="inlineStr"/>
      <c r="B141" s="6" t="inlineStr">
        <is>
          <t>Общее</t>
        </is>
      </c>
      <c r="C141" s="5">
        <f>HYPERLINK("https://www.avito.ru/sankt-peterburg/uslugi/priem_i_vyvoz_metalloloma_samovyvoz_loma_8023662399","Прием и вывоз металлолома / Самовывоз лома")</f>
        <v/>
      </c>
      <c r="D141" s="7" t="inlineStr">
        <is>
          <t>Санкт-Петербург, пр-т Энгельса, 162Р</t>
        </is>
      </c>
      <c r="E141" s="15">
        <f>HYPERLINK("https://www.avito.ru/sankt-peterburg/uslugi/priem_i_vyvoz_metalloloma_samovyvoz_loma_8023662399","8023662399")</f>
        <v/>
      </c>
    </row>
    <row r="142">
      <c r="A142" s="4" t="inlineStr"/>
      <c r="B142" s="6" t="inlineStr">
        <is>
          <t>Цветмет</t>
        </is>
      </c>
      <c r="C142" s="5">
        <f>HYPERLINK("https://www.avito.ru/sankt-peterburg/uslugi/priem_loma_tsvetnyh_metallov_8023695145","Прием лома цветных металлов")</f>
        <v/>
      </c>
      <c r="D142" s="7" t="inlineStr">
        <is>
          <t>Санкт-Петербург, пр-т Энгельса, 162Р</t>
        </is>
      </c>
      <c r="E142" s="15">
        <f>HYPERLINK("https://www.avito.ru/sankt-peterburg/uslugi/priem_loma_tsvetnyh_metallov_8023695145","8023695145")</f>
        <v/>
      </c>
    </row>
    <row r="143">
      <c r="A143" s="4" t="inlineStr"/>
      <c r="B143" s="6" t="inlineStr">
        <is>
          <t>Общее</t>
        </is>
      </c>
      <c r="C143" s="5">
        <f>HYPERLINK("https://www.avito.ru/chudovo/uslugi/priem_metalloloma_priem_loma_demontazh_8023711605","Прием металлолома / Прием лома / Демонтаж")</f>
        <v/>
      </c>
      <c r="D143" s="7" t="inlineStr">
        <is>
          <t>Чудово, ул. Губина, 1В</t>
        </is>
      </c>
      <c r="E143" s="15">
        <f>HYPERLINK("https://www.avito.ru/chudovo/uslugi/priem_metalloloma_priem_loma_demontazh_8023711605","8023711605")</f>
        <v/>
      </c>
    </row>
    <row r="144">
      <c r="A144" s="4" t="inlineStr"/>
      <c r="B144" s="6" t="inlineStr">
        <is>
          <t>Цветмет</t>
        </is>
      </c>
      <c r="C144" s="5">
        <f>HYPERLINK("https://www.avito.ru/volosovo/uslugi/priem_loma_tsvetnyh_metallov_8023799696","Прием лома цветных металлов")</f>
        <v/>
      </c>
      <c r="D144" s="7" t="inlineStr">
        <is>
          <t>Волосово, ул. Восстания, 6</t>
        </is>
      </c>
      <c r="E144" s="15">
        <f>HYPERLINK("https://www.avito.ru/volosovo/uslugi/priem_loma_tsvetnyh_metallov_8023799696","8023799696")</f>
        <v/>
      </c>
    </row>
    <row r="145">
      <c r="A145" s="4" t="inlineStr"/>
      <c r="B145" s="6" t="inlineStr">
        <is>
          <t>Общее</t>
        </is>
      </c>
      <c r="C145" s="5">
        <f>HYPERLINK("https://www.avito.ru/sankt-peterburg/uslugi/priem_metalloloma_demontazh_priem_metalla_8023841554","Прием металлолома / Демонтаж / Прием металла")</f>
        <v/>
      </c>
      <c r="D145" s="7" t="inlineStr">
        <is>
          <t>Санкт-Петербург, Центральный район, Кирпичный пер., 1</t>
        </is>
      </c>
      <c r="E145" s="15">
        <f>HYPERLINK("https://www.avito.ru/sankt-peterburg/uslugi/priem_metalloloma_demontazh_priem_metalla_8023841554","8023841554")</f>
        <v/>
      </c>
    </row>
    <row r="146">
      <c r="A146" s="4" t="inlineStr"/>
      <c r="B146" s="6" t="inlineStr">
        <is>
          <t>РЗМ</t>
        </is>
      </c>
      <c r="C146" s="5">
        <f>HYPERLINK("https://www.avito.ru/arhangelsk/uslugi/priem_i_vyvoz_metalloloma_priem_redkih_metallov_8022908659","Прием и вывоз металлолома / Прием редких металлов")</f>
        <v/>
      </c>
      <c r="D146" s="7" t="inlineStr">
        <is>
          <t>Архангельск, ул. Октябрят, 27к3</t>
        </is>
      </c>
      <c r="E146" s="15">
        <f>HYPERLINK("https://www.avito.ru/arhangelsk/uslugi/priem_i_vyvoz_metalloloma_priem_redkih_metallov_8022908659","8022908659")</f>
        <v/>
      </c>
    </row>
    <row r="147">
      <c r="A147" s="4" t="inlineStr"/>
      <c r="B147" s="6" t="inlineStr">
        <is>
          <t>Чермет</t>
        </is>
      </c>
      <c r="C147" s="5">
        <f>HYPERLINK("https://www.avito.ru/lodeynoe_pole/uslugi/priem_metalloloma_priem_chernogo_loma_opt_8022932967","Прием металлолома / Прием черного лома опт")</f>
        <v/>
      </c>
      <c r="D147" s="7" t="inlineStr">
        <is>
          <t>Лодейное Поле</t>
        </is>
      </c>
      <c r="E147" s="15">
        <f>HYPERLINK("https://www.avito.ru/lodeynoe_pole/uslugi/priem_metalloloma_priem_chernogo_loma_opt_8022932967","8022932967")</f>
        <v/>
      </c>
    </row>
    <row r="148">
      <c r="A148" s="4" t="inlineStr"/>
      <c r="B148" s="6" t="inlineStr">
        <is>
          <t>Общее</t>
        </is>
      </c>
      <c r="C148" s="5">
        <f>HYPERLINK("https://www.avito.ru/sankt-peterburg/uslugi/priem_i_vyvoz_metalloloma_priem_metalla_8023097848","Прием и вывоз металлолома / Прием металла")</f>
        <v/>
      </c>
      <c r="D148" s="7" t="inlineStr">
        <is>
          <t>Санкт-Петербург, Коломяжский пр-т, 24</t>
        </is>
      </c>
      <c r="E148" s="15">
        <f>HYPERLINK("https://www.avito.ru/sankt-peterburg/uslugi/priem_i_vyvoz_metalloloma_priem_metalla_8023097848","8023097848")</f>
        <v/>
      </c>
    </row>
    <row r="149">
      <c r="A149" s="4" t="inlineStr"/>
      <c r="B149" s="6" t="inlineStr">
        <is>
          <t>Общее</t>
        </is>
      </c>
      <c r="C149" s="5">
        <f>HYPERLINK("https://www.avito.ru/tosno/uslugi/priem_metalloloma_demontazh_vyvoz_metalla_8023129056","Прием металлолома / Демонтаж / Вывоз металла")</f>
        <v/>
      </c>
      <c r="D149" s="7" t="inlineStr">
        <is>
          <t>Тосно, Октябрьская ул., 125Л</t>
        </is>
      </c>
      <c r="E149" s="15">
        <f>HYPERLINK("https://www.avito.ru/tosno/uslugi/priem_metalloloma_demontazh_vyvoz_metalla_8023129056","8023129056")</f>
        <v/>
      </c>
    </row>
    <row r="150">
      <c r="A150" s="4" t="inlineStr"/>
      <c r="B150" s="6" t="inlineStr">
        <is>
          <t>Общее</t>
        </is>
      </c>
      <c r="C150" s="5">
        <f>HYPERLINK("https://www.avito.ru/sankt-peterburg/uslugi/priem_i_vyvoz_metalloloma_sdat_lom_8023129609","Прием и вывоз металлолома / Сдать лом")</f>
        <v/>
      </c>
      <c r="D150" s="7" t="inlineStr">
        <is>
          <t>Санкт-Петербург, б-р Новаторов, 73к4А</t>
        </is>
      </c>
      <c r="E150" s="15">
        <f>HYPERLINK("https://www.avito.ru/sankt-peterburg/uslugi/priem_i_vyvoz_metalloloma_sdat_lom_8023129609","8023129609")</f>
        <v/>
      </c>
    </row>
    <row r="151">
      <c r="A151" s="4" t="inlineStr"/>
      <c r="B151" s="6" t="inlineStr">
        <is>
          <t>Цветмет</t>
        </is>
      </c>
      <c r="C151" s="5">
        <f>HYPERLINK("https://www.avito.ru/sankt-peterburg/uslugi/priem_loma_priem_tsvetnogo_loma_priem_chermeta_8023171610","Прием лома / Прием цветного лома / Прием чермета")</f>
        <v/>
      </c>
      <c r="D151" s="7" t="inlineStr">
        <is>
          <t>Санкт-Петербург, пл. Стачек</t>
        </is>
      </c>
      <c r="E151" s="15">
        <f>HYPERLINK("https://www.avito.ru/sankt-peterburg/uslugi/priem_loma_priem_tsvetnogo_loma_priem_chermeta_8023171610","8023171610")</f>
        <v/>
      </c>
    </row>
    <row r="152">
      <c r="A152" s="4" t="inlineStr"/>
      <c r="B152" s="6" t="inlineStr">
        <is>
          <t>Цветмет</t>
        </is>
      </c>
      <c r="C152" s="5">
        <f>HYPERLINK("https://www.avito.ru/kudrovo/uslugi/priem_metalloloma_priem_tsvetnogo_loma_8023233430","Прием металлолома / Прием цветного лома")</f>
        <v/>
      </c>
      <c r="D152" s="7" t="inlineStr">
        <is>
          <t>Кудрово, мкр-н Южное Кудрово</t>
        </is>
      </c>
      <c r="E152" s="15">
        <f>HYPERLINK("https://www.avito.ru/kudrovo/uslugi/priem_metalloloma_priem_tsvetnogo_loma_8023233430","8023233430")</f>
        <v/>
      </c>
    </row>
    <row r="153">
      <c r="A153" s="4" t="inlineStr"/>
      <c r="B153" s="6" t="inlineStr">
        <is>
          <t>Цветмет</t>
        </is>
      </c>
      <c r="C153" s="5">
        <f>HYPERLINK("https://www.avito.ru/sankt-peterburg/uslugi/priem_tsvetnogo_metalloloma_8023331092","Прием цветного металлолома")</f>
        <v/>
      </c>
      <c r="D153" s="7" t="inlineStr">
        <is>
          <t>Санкт-Петербург, Комендантский пр-т</t>
        </is>
      </c>
      <c r="E153" s="15">
        <f>HYPERLINK("https://www.avito.ru/sankt-peterburg/uslugi/priem_tsvetnogo_metalloloma_8023331092","8023331092")</f>
        <v/>
      </c>
    </row>
    <row r="154">
      <c r="A154" s="4" t="inlineStr"/>
      <c r="B154" s="6" t="inlineStr">
        <is>
          <t>Общее</t>
        </is>
      </c>
      <c r="C154" s="5">
        <f>HYPERLINK("https://www.avito.ru/sankt-peterburg/uslugi/priem_metalloloma_demontazh_priem_metalla_8023437588","Прием металлолома / Демонтаж / Прием металла")</f>
        <v/>
      </c>
      <c r="D154" s="7" t="inlineStr">
        <is>
          <t>Санкт-Петербург, ул. Смолячкова, 21</t>
        </is>
      </c>
      <c r="E154" s="15">
        <f>HYPERLINK("https://www.avito.ru/sankt-peterburg/uslugi/priem_metalloloma_demontazh_priem_metalla_8023437588","8023437588")</f>
        <v/>
      </c>
    </row>
    <row r="155">
      <c r="A155" s="4" t="inlineStr"/>
      <c r="B155" s="6" t="inlineStr">
        <is>
          <t>Общее</t>
        </is>
      </c>
      <c r="C155" s="5">
        <f>HYPERLINK("https://www.avito.ru/sankt-peterburg/uslugi/priem_i_vyvoz_metalloloma_sdat_lom_8023514427","Прием и вывоз металлолома / Сдать лом")</f>
        <v/>
      </c>
      <c r="D155" s="7" t="inlineStr">
        <is>
          <t>Санкт-Петербург, Комендантский пр-т</t>
        </is>
      </c>
      <c r="E155" s="15">
        <f>HYPERLINK("https://www.avito.ru/sankt-peterburg/uslugi/priem_i_vyvoz_metalloloma_sdat_lom_8023514427","8023514427")</f>
        <v/>
      </c>
    </row>
    <row r="156">
      <c r="A156" s="4" t="inlineStr"/>
      <c r="B156" s="6" t="inlineStr">
        <is>
          <t>Цветмет</t>
        </is>
      </c>
      <c r="C156" s="5">
        <f>HYPERLINK("https://www.avito.ru/vsevolozhsk/uslugi/priem_loma_tsvetnyh_metallov_8023520570","Прием лома цветных металлов")</f>
        <v/>
      </c>
      <c r="D156" s="7" t="inlineStr">
        <is>
          <t>Всеволожск, Лиственная ул., 16</t>
        </is>
      </c>
      <c r="E156" s="15">
        <f>HYPERLINK("https://www.avito.ru/vsevolozhsk/uslugi/priem_loma_tsvetnyh_metallov_8023520570","8023520570")</f>
        <v/>
      </c>
    </row>
    <row r="157">
      <c r="A157" s="4" t="inlineStr"/>
      <c r="B157" s="6" t="inlineStr">
        <is>
          <t>Чермет</t>
        </is>
      </c>
      <c r="C157" s="5">
        <f>HYPERLINK("https://www.avito.ru/pikalevo/uslugi/priem_metalloloma_priem_chernogo_loma_opt_8023594630","Прием металлолома / Прием черного лома опт")</f>
        <v/>
      </c>
      <c r="D157" s="7" t="inlineStr">
        <is>
          <t>Пикалёво, Советская ул.</t>
        </is>
      </c>
      <c r="E157" s="15">
        <f>HYPERLINK("https://www.avito.ru/pikalevo/uslugi/priem_metalloloma_priem_chernogo_loma_opt_8023594630","8023594630")</f>
        <v/>
      </c>
    </row>
    <row r="158">
      <c r="A158" s="4" t="inlineStr"/>
      <c r="B158" s="6" t="inlineStr">
        <is>
          <t>РЗМ</t>
        </is>
      </c>
      <c r="C158" s="5">
        <f>HYPERLINK("https://www.avito.ru/severodvinsk/uslugi/priem_i_vyvoz_metalloloma_priem_redkih_metallov_8023689104","Прием и вывоз металлолома / Прием редких металлов")</f>
        <v/>
      </c>
      <c r="D158" s="7" t="inlineStr">
        <is>
          <t>Северодвинск, Ягринское ш., 2А</t>
        </is>
      </c>
      <c r="E158" s="15">
        <f>HYPERLINK("https://www.avito.ru/severodvinsk/uslugi/priem_i_vyvoz_metalloloma_priem_redkih_metallov_8023689104","8023689104")</f>
        <v/>
      </c>
    </row>
    <row r="159">
      <c r="A159" s="4" t="inlineStr"/>
      <c r="B159" s="6" t="inlineStr">
        <is>
          <t>Общее</t>
        </is>
      </c>
      <c r="C159" s="5">
        <f>HYPERLINK("https://www.avito.ru/babaevo/uslugi/priem_metalloloma_demontazh_priem_metalla_8023753279","Прием металлолома / Демонтаж / Прием металла")</f>
        <v/>
      </c>
      <c r="D159" s="7" t="inlineStr">
        <is>
          <t>Бабаево, Северная ул., 56</t>
        </is>
      </c>
      <c r="E159" s="15">
        <f>HYPERLINK("https://www.avito.ru/babaevo/uslugi/priem_metalloloma_demontazh_priem_metalla_8023753279","8023753279")</f>
        <v/>
      </c>
    </row>
    <row r="160">
      <c r="A160" s="4" t="inlineStr"/>
      <c r="B160" s="6" t="inlineStr">
        <is>
          <t>Общее</t>
        </is>
      </c>
      <c r="C160" s="5">
        <f>HYPERLINK("https://www.avito.ru/petrozavodsk/uslugi/priem_metalla_demontazh_priem_metalloloma_8023755702","Прием металла / Демонтаж / Прием металлолома")</f>
        <v/>
      </c>
      <c r="D160" s="7" t="inlineStr">
        <is>
          <t>Петрозаводск, Прибрежный пер., 1</t>
        </is>
      </c>
      <c r="E160" s="15">
        <f>HYPERLINK("https://www.avito.ru/petrozavodsk/uslugi/priem_metalla_demontazh_priem_metalloloma_8023755702","8023755702")</f>
        <v/>
      </c>
    </row>
    <row r="161">
      <c r="A161" s="4" t="inlineStr"/>
      <c r="B161" s="6" t="inlineStr">
        <is>
          <t>Общее</t>
        </is>
      </c>
      <c r="C161" s="5">
        <f>HYPERLINK("https://www.avito.ru/vologda/uslugi/priem_i_vyvoz_metalloloma_priem_metalla_8023864157","Прием и вывоз металлолома / Прием металла")</f>
        <v/>
      </c>
      <c r="D161" s="7" t="inlineStr">
        <is>
          <t>Вологда, ул. Чернышевского, 141А</t>
        </is>
      </c>
      <c r="E161" s="15">
        <f>HYPERLINK("https://www.avito.ru/vologda/uslugi/priem_i_vyvoz_metalloloma_priem_metalla_8023864157","8023864157")</f>
        <v/>
      </c>
    </row>
    <row r="162">
      <c r="A162" s="4" t="inlineStr"/>
      <c r="B162" s="6" t="inlineStr">
        <is>
          <t>Чермет</t>
        </is>
      </c>
      <c r="C162" s="5">
        <f>HYPERLINK("https://www.avito.ru/tajtsy/uslugi/priem_metalloloma_priem_chernogo_loma_opt_8023889878","Прием металлолома / Прием черного лома опт")</f>
        <v/>
      </c>
      <c r="D162" s="7" t="inlineStr">
        <is>
          <t>городской пос. Тайцы, Советская ул.</t>
        </is>
      </c>
      <c r="E162" s="15">
        <f>HYPERLINK("https://www.avito.ru/tajtsy/uslugi/priem_metalloloma_priem_chernogo_loma_opt_8023889878","8023889878")</f>
        <v/>
      </c>
    </row>
    <row r="163">
      <c r="A163" s="4" t="inlineStr"/>
      <c r="B163" s="6" t="inlineStr">
        <is>
          <t>Чермет</t>
        </is>
      </c>
      <c r="C163" s="5">
        <f>HYPERLINK("https://www.avito.ru/murino/uslugi/priem_metalloloma_priem_chernogo_loma_8022927405","Прием металлолома / Прием черного лома")</f>
        <v/>
      </c>
      <c r="D163" s="7" t="inlineStr">
        <is>
          <t>Мурино, Центральная ул., 50А</t>
        </is>
      </c>
      <c r="E163" s="15">
        <f>HYPERLINK("https://www.avito.ru/murino/uslugi/priem_metalloloma_priem_chernogo_loma_8022927405","8022927405")</f>
        <v/>
      </c>
    </row>
    <row r="164">
      <c r="A164" s="4" t="inlineStr"/>
      <c r="B164" s="6" t="inlineStr">
        <is>
          <t>Общее</t>
        </is>
      </c>
      <c r="C164" s="5">
        <f>HYPERLINK("https://www.avito.ru/novodvinsk/uslugi/priem_i_vyvoz_metalloloma_sdat_lom_8022951995","Прием и вывоз металлолома / Сдать лом")</f>
        <v/>
      </c>
      <c r="D164" s="7" t="inlineStr">
        <is>
          <t>Новодвинск, ул. Фронтовых Бригад, 12</t>
        </is>
      </c>
      <c r="E164" s="15">
        <f>HYPERLINK("https://www.avito.ru/novodvinsk/uslugi/priem_i_vyvoz_metalloloma_sdat_lom_8022951995","8022951995")</f>
        <v/>
      </c>
    </row>
    <row r="165">
      <c r="A165" s="4" t="inlineStr"/>
      <c r="B165" s="6" t="inlineStr">
        <is>
          <t>Общее</t>
        </is>
      </c>
      <c r="C165" s="5">
        <f>HYPERLINK("https://www.avito.ru/podporozhe/uslugi/priem_metalloloma_vyvoz_metalloloma_8023045520","Прием металлолома/ Вывоз металлолома")</f>
        <v/>
      </c>
      <c r="D165" s="7" t="inlineStr">
        <is>
          <t>Подпорожье</t>
        </is>
      </c>
      <c r="E165" s="15">
        <f>HYPERLINK("https://www.avito.ru/podporozhe/uslugi/priem_metalloloma_vyvoz_metalloloma_8023045520","8023045520")</f>
        <v/>
      </c>
    </row>
    <row r="166">
      <c r="A166" s="4" t="inlineStr"/>
      <c r="B166" s="6" t="inlineStr">
        <is>
          <t>Чермет</t>
        </is>
      </c>
      <c r="C166" s="5">
        <f>HYPERLINK("https://www.avito.ru/vysotsk/uslugi/priem_metalloloma_priem_chernogo_loma_opt_8023049179","Прием металлолома / Прием черного лома опт")</f>
        <v/>
      </c>
      <c r="D166" s="7" t="inlineStr">
        <is>
          <t>Высоцк, Центральная ул.</t>
        </is>
      </c>
      <c r="E166" s="15">
        <f>HYPERLINK("https://www.avito.ru/vysotsk/uslugi/priem_metalloloma_priem_chernogo_loma_opt_8023049179","8023049179")</f>
        <v/>
      </c>
    </row>
    <row r="167">
      <c r="A167" s="4" t="inlineStr"/>
      <c r="B167" s="6" t="inlineStr">
        <is>
          <t>Общее</t>
        </is>
      </c>
      <c r="C167" s="5">
        <f>HYPERLINK("https://www.avito.ru/malaya_vishera/uslugi/priem_i_vyvoz_metalloloma_priem_metalla_8023052685","Прием и вывоз металлолома / Прием металла")</f>
        <v/>
      </c>
      <c r="D167" s="7" t="inlineStr">
        <is>
          <t>Малая Вишера</t>
        </is>
      </c>
      <c r="E167" s="15">
        <f>HYPERLINK("https://www.avito.ru/malaya_vishera/uslugi/priem_i_vyvoz_metalloloma_priem_metalla_8023052685","8023052685")</f>
        <v/>
      </c>
    </row>
    <row r="168">
      <c r="A168" s="4" t="inlineStr"/>
      <c r="B168" s="6" t="inlineStr">
        <is>
          <t>Общее</t>
        </is>
      </c>
      <c r="C168" s="5">
        <f>HYPERLINK("https://www.avito.ru/vyborg/uslugi/priem_metalloloma_demontazh_priem_metalla_8023055091","Прием металлолома / Демонтаж / Прием металла")</f>
        <v/>
      </c>
      <c r="D168" s="7" t="inlineStr">
        <is>
          <t>Выборг, Промышленная ул., 10</t>
        </is>
      </c>
      <c r="E168" s="15">
        <f>HYPERLINK("https://www.avito.ru/vyborg/uslugi/priem_metalloloma_demontazh_priem_metalla_8023055091","8023055091")</f>
        <v/>
      </c>
    </row>
    <row r="169">
      <c r="A169" s="4" t="inlineStr"/>
      <c r="B169" s="6" t="inlineStr">
        <is>
          <t>Чермет</t>
        </is>
      </c>
      <c r="C169" s="5">
        <f>HYPERLINK("https://www.avito.ru/leningradskaya_oblast_kommunar/uslugi/priem_metalloloma_priem_chernogo_loma_8023073172","Прием металлолома / Прием черного лома")</f>
        <v/>
      </c>
      <c r="D169" s="7" t="inlineStr">
        <is>
          <t>Коммунар, Железнодорожная ул., 6А</t>
        </is>
      </c>
      <c r="E169" s="15">
        <f>HYPERLINK("https://www.avito.ru/leningradskaya_oblast_kommunar/uslugi/priem_metalloloma_priem_chernogo_loma_8023073172","8023073172")</f>
        <v/>
      </c>
    </row>
    <row r="170">
      <c r="A170" s="4" t="inlineStr"/>
      <c r="B170" s="6" t="inlineStr">
        <is>
          <t>Цветмет</t>
        </is>
      </c>
      <c r="C170" s="5">
        <f>HYPERLINK("https://www.avito.ru/leningradskaya_oblast_kirovsk/uslugi/priem_tsvetnogo_metalloloma_8023156728","Прием цветного металлолома")</f>
        <v/>
      </c>
      <c r="D170" s="7" t="inlineStr">
        <is>
          <t>Кировск, Северная ул., 1В</t>
        </is>
      </c>
      <c r="E170" s="15">
        <f>HYPERLINK("https://www.avito.ru/leningradskaya_oblast_kirovsk/uslugi/priem_tsvetnogo_metalloloma_8023156728","8023156728")</f>
        <v/>
      </c>
    </row>
    <row r="171">
      <c r="A171" s="4" t="inlineStr"/>
      <c r="B171" s="6" t="inlineStr">
        <is>
          <t>Общее</t>
        </is>
      </c>
      <c r="C171" s="5">
        <f>HYPERLINK("https://www.avito.ru/leningradskaya_oblast_nikolskoe/uslugi/priem_metalloloma_demontazh_vyvoz_metalla_8023161596","Прием металлолома / Демонтаж / Вывоз металла")</f>
        <v/>
      </c>
      <c r="D171" s="7" t="inlineStr">
        <is>
          <t>Никольское</t>
        </is>
      </c>
      <c r="E171" s="15">
        <f>HYPERLINK("https://www.avito.ru/leningradskaya_oblast_nikolskoe/uslugi/priem_metalloloma_demontazh_vyvoz_metalla_8023161596","8023161596")</f>
        <v/>
      </c>
    </row>
    <row r="172">
      <c r="A172" s="4" t="inlineStr"/>
      <c r="B172" s="6" t="inlineStr">
        <is>
          <t>Общее</t>
        </is>
      </c>
      <c r="C172" s="5">
        <f>HYPERLINK("https://www.avito.ru/sankt-peterburg/uslugi/priem_metalloloma_skupka_metalla_8023261732","Прием металлолома / Скупка металла")</f>
        <v/>
      </c>
      <c r="D172" s="7" t="inlineStr">
        <is>
          <t>Санкт-Петербург, Бухарестская ул., 30</t>
        </is>
      </c>
      <c r="E172" s="15">
        <f>HYPERLINK("https://www.avito.ru/sankt-peterburg/uslugi/priem_metalloloma_skupka_metalla_8023261732","8023261732")</f>
        <v/>
      </c>
    </row>
    <row r="173">
      <c r="A173" s="4" t="inlineStr"/>
      <c r="B173" s="6" t="inlineStr">
        <is>
          <t>Чермет</t>
        </is>
      </c>
      <c r="C173" s="5">
        <f>HYPERLINK("https://www.avito.ru/yanino-1/uslugi/priem_metalloloma_priem_chernogo_loma_8023277035","Прием металлолома / Прием черного лома")</f>
        <v/>
      </c>
      <c r="D173" s="7" t="inlineStr">
        <is>
          <t>городской пос. Янино-1, Кольцевая ул., 3</t>
        </is>
      </c>
      <c r="E173" s="15">
        <f>HYPERLINK("https://www.avito.ru/yanino-1/uslugi/priem_metalloloma_priem_chernogo_loma_8023277035","8023277035")</f>
        <v/>
      </c>
    </row>
    <row r="174">
      <c r="A174" s="4" t="inlineStr"/>
      <c r="B174" s="6" t="inlineStr">
        <is>
          <t>Чермет</t>
        </is>
      </c>
      <c r="C174" s="5">
        <f>HYPERLINK("https://www.avito.ru/novaya_ladoga/uslugi/priem_metalloloma_priem_chernogo_loma_opt_8023298585","Прием металлолома / Прием черного лома опт")</f>
        <v/>
      </c>
      <c r="D174" s="7" t="inlineStr">
        <is>
          <t>Новая Ладога, ул. Суворова, 53</t>
        </is>
      </c>
      <c r="E174" s="15">
        <f>HYPERLINK("https://www.avito.ru/novaya_ladoga/uslugi/priem_metalloloma_priem_chernogo_loma_opt_8023298585","8023298585")</f>
        <v/>
      </c>
    </row>
    <row r="175">
      <c r="A175" s="4" t="inlineStr"/>
      <c r="B175" s="6" t="inlineStr">
        <is>
          <t>Общее</t>
        </is>
      </c>
      <c r="C175" s="5">
        <f>HYPERLINK("https://www.avito.ru/babaevo/uslugi/priem_metalloloma_priem_loma_demontazh_8023321030","Прием металлолома / Прием лома / Демонтаж")</f>
        <v/>
      </c>
      <c r="D175" s="7" t="inlineStr">
        <is>
          <t>Бабаево, Северная ул., 56</t>
        </is>
      </c>
      <c r="E175" s="15">
        <f>HYPERLINK("https://www.avito.ru/babaevo/uslugi/priem_metalloloma_priem_loma_demontazh_8023321030","8023321030")</f>
        <v/>
      </c>
    </row>
    <row r="176">
      <c r="A176" s="4" t="inlineStr"/>
      <c r="B176" s="6" t="inlineStr">
        <is>
          <t>Общее</t>
        </is>
      </c>
      <c r="C176" s="5">
        <f>HYPERLINK("https://www.avito.ru/boksitogorsk/uslugi/priem_metalloloma_vyvoz_metalloloma_8023342591","Прием металлолома/ Вывоз металлолома")</f>
        <v/>
      </c>
      <c r="D176" s="7" t="inlineStr">
        <is>
          <t>Бокситогорск, Дымское ш., 1</t>
        </is>
      </c>
      <c r="E176" s="15">
        <f>HYPERLINK("https://www.avito.ru/boksitogorsk/uslugi/priem_metalloloma_vyvoz_metalloloma_8023342591","8023342591")</f>
        <v/>
      </c>
    </row>
    <row r="177">
      <c r="A177" s="4" t="inlineStr"/>
      <c r="B177" s="6" t="inlineStr">
        <is>
          <t>Цветмет</t>
        </is>
      </c>
      <c r="C177" s="5">
        <f>HYPERLINK("https://www.avito.ru/chudovo/uslugi/priem_tsvetnogo_metalloloma_8023395916","Прием цветного металлолома")</f>
        <v/>
      </c>
      <c r="D177" s="7" t="inlineStr">
        <is>
          <t>Чудово, ул. Губина, 1В</t>
        </is>
      </c>
      <c r="E177" s="15">
        <f>HYPERLINK("https://www.avito.ru/chudovo/uslugi/priem_tsvetnogo_metalloloma_8023395916","8023395916")</f>
        <v/>
      </c>
    </row>
    <row r="178">
      <c r="A178" s="4" t="inlineStr"/>
      <c r="B178" s="6" t="inlineStr">
        <is>
          <t>Общее</t>
        </is>
      </c>
      <c r="C178" s="5">
        <f>HYPERLINK("https://www.avito.ru/tajtsy/uslugi/priem_metalloloma_priem_loma_demontazh_8023486102","Прием металлолома / Прием лома / Демонтаж")</f>
        <v/>
      </c>
      <c r="D178" s="7" t="inlineStr">
        <is>
          <t>городской пос. Тайцы, Советская ул.</t>
        </is>
      </c>
      <c r="E178" s="15">
        <f>HYPERLINK("https://www.avito.ru/tajtsy/uslugi/priem_metalloloma_priem_loma_demontazh_8023486102","8023486102")</f>
        <v/>
      </c>
    </row>
    <row r="179">
      <c r="A179" s="4" t="inlineStr"/>
      <c r="B179" s="6" t="inlineStr">
        <is>
          <t>Общее</t>
        </is>
      </c>
      <c r="C179" s="5">
        <f>HYPERLINK("https://www.avito.ru/sankt-peterburg/uslugi/priem_metalloloma_priem_loma_demontazh_8023592721","Прием металлолома / Прием лома / Демонтаж")</f>
        <v/>
      </c>
      <c r="D179" s="7" t="inlineStr">
        <is>
          <t>Санкт-Петербург, Комендантский пр-т</t>
        </is>
      </c>
      <c r="E179" s="15">
        <f>HYPERLINK("https://www.avito.ru/sankt-peterburg/uslugi/priem_metalloloma_priem_loma_demontazh_8023592721","8023592721")</f>
        <v/>
      </c>
    </row>
    <row r="180">
      <c r="A180" s="4" t="inlineStr"/>
      <c r="B180" s="6" t="inlineStr">
        <is>
          <t>Чермет</t>
        </is>
      </c>
      <c r="C180" s="5">
        <f>HYPERLINK("https://www.avito.ru/leningradskaya_oblast_nikolskoe/uslugi/priem_metalloloma_priem_chernogo_loma_8023616756","Прием металлолома / Прием черного лома")</f>
        <v/>
      </c>
      <c r="D180" s="7" t="inlineStr">
        <is>
          <t>Никольское</t>
        </is>
      </c>
      <c r="E180" s="15">
        <f>HYPERLINK("https://www.avito.ru/leningradskaya_oblast_nikolskoe/uslugi/priem_metalloloma_priem_chernogo_loma_8023616756","8023616756")</f>
        <v/>
      </c>
    </row>
    <row r="181">
      <c r="A181" s="4" t="inlineStr"/>
      <c r="B181" s="6" t="inlineStr">
        <is>
          <t>РЗМ</t>
        </is>
      </c>
      <c r="C181" s="5">
        <f>HYPERLINK("https://www.avito.ru/leningradskaya_oblast_kommunar/uslugi/priem_i_vyvoz_metalloloma_priem_redkih_metallov_8023664674","Прием и вывоз металлолома / Прием редких металлов")</f>
        <v/>
      </c>
      <c r="D181" s="7" t="inlineStr">
        <is>
          <t>Коммунар, Железнодорожная ул., 6А</t>
        </is>
      </c>
      <c r="E181" s="15">
        <f>HYPERLINK("https://www.avito.ru/leningradskaya_oblast_kommunar/uslugi/priem_i_vyvoz_metalloloma_priem_redkih_metallov_8023664674","8023664674")</f>
        <v/>
      </c>
    </row>
    <row r="182">
      <c r="A182" s="4" t="inlineStr"/>
      <c r="B182" s="6" t="inlineStr">
        <is>
          <t>Цветмет</t>
        </is>
      </c>
      <c r="C182" s="5">
        <f>HYPERLINK("https://www.avito.ru/kipen/uslugi/priem_tsvetnogo_metalloloma_8023677504","Прием цветного металлолома")</f>
        <v/>
      </c>
      <c r="D182" s="7" t="inlineStr">
        <is>
          <t>д. Кипень, Ропшинское ш., 66</t>
        </is>
      </c>
      <c r="E182" s="15">
        <f>HYPERLINK("https://www.avito.ru/kipen/uslugi/priem_tsvetnogo_metalloloma_8023677504","8023677504")</f>
        <v/>
      </c>
    </row>
    <row r="183">
      <c r="A183" s="4" t="inlineStr"/>
      <c r="B183" s="6" t="inlineStr">
        <is>
          <t>Цветмет</t>
        </is>
      </c>
      <c r="C183" s="5">
        <f>HYPERLINK("https://www.avito.ru/sankt-peterburg/uslugi/priem_loma_tsvetnyh_metallov_8023771322","Прием лома цветных металлов")</f>
        <v/>
      </c>
      <c r="D183" s="7" t="inlineStr">
        <is>
          <t>Санкт-Петербург, ул. Дыбенко, 26</t>
        </is>
      </c>
      <c r="E183" s="15">
        <f>HYPERLINK("https://www.avito.ru/sankt-peterburg/uslugi/priem_loma_tsvetnyh_metallov_8023771322","8023771322")</f>
        <v/>
      </c>
    </row>
    <row r="184">
      <c r="A184" s="4" t="inlineStr"/>
      <c r="B184" s="6" t="inlineStr">
        <is>
          <t>Общее</t>
        </is>
      </c>
      <c r="C184" s="5">
        <f>HYPERLINK("https://www.avito.ru/kaduy/uslugi/priem_metalla_sdat_lom_vyvoz_loma_8023813949","Приём металла /Сдать лом / Вывоз лома")</f>
        <v/>
      </c>
      <c r="D184" s="7" t="inlineStr">
        <is>
          <t>рп. Кадуй, Советская ул., 3</t>
        </is>
      </c>
      <c r="E184" s="15">
        <f>HYPERLINK("https://www.avito.ru/kaduy/uslugi/priem_metalla_sdat_lom_vyvoz_loma_8023813949","8023813949")</f>
        <v/>
      </c>
    </row>
    <row r="185">
      <c r="A185" s="4" t="inlineStr"/>
      <c r="B185" s="6" t="inlineStr">
        <is>
          <t>Общее</t>
        </is>
      </c>
      <c r="C185" s="5">
        <f>HYPERLINK("https://www.avito.ru/velikiy_ustyug/uslugi/priem_i_vyvoz_metalloloma_sdat_lom_8023831918","Прием и вывоз металлолома / Сдать лом")</f>
        <v/>
      </c>
      <c r="D185" s="7" t="inlineStr">
        <is>
          <t>Великий Устюг, Советский пр-т, 3</t>
        </is>
      </c>
      <c r="E185" s="15">
        <f>HYPERLINK("https://www.avito.ru/velikiy_ustyug/uslugi/priem_i_vyvoz_metalloloma_sdat_lom_8023831918","8023831918")</f>
        <v/>
      </c>
    </row>
    <row r="186">
      <c r="A186" s="4" t="inlineStr"/>
      <c r="B186" s="6" t="inlineStr">
        <is>
          <t>Чермет</t>
        </is>
      </c>
      <c r="C186" s="5">
        <f>HYPERLINK("https://www.avito.ru/sankt-peterburg/uslugi/priem_metalloloma_priem_chernogo_loma_opt_8023869452","Прием металлолома / Прием черного лома опт")</f>
        <v/>
      </c>
      <c r="D186" s="7" t="inlineStr">
        <is>
          <t>Санкт-Петербург, Коломяжский пр-т, 24</t>
        </is>
      </c>
      <c r="E186" s="15">
        <f>HYPERLINK("https://www.avito.ru/sankt-peterburg/uslugi/priem_metalloloma_priem_chernogo_loma_opt_8023869452","8023869452")</f>
        <v/>
      </c>
    </row>
    <row r="187">
      <c r="A187" s="4" t="inlineStr"/>
      <c r="B187" s="6" t="inlineStr">
        <is>
          <t>Цветмет</t>
        </is>
      </c>
      <c r="C187" s="5">
        <f>HYPERLINK("https://www.avito.ru/novoe_devyatkino/uslugi/priem_metalloloma_priem_tsvetnogo_loma_8022910335","Прием металлолома / Прием цветного лома")</f>
        <v/>
      </c>
      <c r="D187" s="7" t="inlineStr">
        <is>
          <t>д. Новое Девяткино, Главная ул., 48</t>
        </is>
      </c>
      <c r="E187" s="15">
        <f>HYPERLINK("https://www.avito.ru/novoe_devyatkino/uslugi/priem_metalloloma_priem_tsvetnogo_loma_8022910335","8022910335")</f>
        <v/>
      </c>
    </row>
    <row r="188">
      <c r="A188" s="4" t="inlineStr"/>
      <c r="B188" s="6" t="inlineStr">
        <is>
          <t>Чермет</t>
        </is>
      </c>
      <c r="C188" s="5">
        <f>HYPERLINK("https://www.avito.ru/krasnaya_dolina/uslugi/priem_metalloloma_priem_chernogo_loma_opt_8022922151","Прием металлолома / Прием черного лома опт")</f>
        <v/>
      </c>
      <c r="D188" s="7" t="inlineStr">
        <is>
          <t>пос. Красная Долина, Центральное ш.</t>
        </is>
      </c>
      <c r="E188" s="15">
        <f>HYPERLINK("https://www.avito.ru/krasnaya_dolina/uslugi/priem_metalloloma_priem_chernogo_loma_opt_8022922151","8022922151")</f>
        <v/>
      </c>
    </row>
    <row r="189">
      <c r="A189" s="4" t="inlineStr"/>
      <c r="B189" s="6" t="inlineStr">
        <is>
          <t>Цветмет</t>
        </is>
      </c>
      <c r="C189" s="5">
        <f>HYPERLINK("https://www.avito.ru/leningradskaya_oblast_lebyazhe/uslugi/priem_loma_tsvetnyh_metallov_8022983361","Прием лома цветных металлов")</f>
        <v/>
      </c>
      <c r="D189" s="7" t="inlineStr">
        <is>
          <t>городской пос. Лебяжье, Строительная ул., 10</t>
        </is>
      </c>
      <c r="E189" s="15">
        <f>HYPERLINK("https://www.avito.ru/leningradskaya_oblast_lebyazhe/uslugi/priem_loma_tsvetnyh_metallov_8022983361","8022983361")</f>
        <v/>
      </c>
    </row>
    <row r="190">
      <c r="A190" s="4" t="inlineStr"/>
      <c r="B190" s="6" t="inlineStr">
        <is>
          <t>Общее</t>
        </is>
      </c>
      <c r="C190" s="5">
        <f>HYPERLINK("https://www.avito.ru/syasstroy/uslugi/priem_metalloloma_demontazh_priem_metalla_8023004580","Прием металлолома / Демонтаж / Прием металла")</f>
        <v/>
      </c>
      <c r="D190" s="7" t="inlineStr">
        <is>
          <t>Сясьстрой, Петрозаводская ул., 34</t>
        </is>
      </c>
      <c r="E190" s="15">
        <f>HYPERLINK("https://www.avito.ru/syasstroy/uslugi/priem_metalloloma_demontazh_priem_metalla_8023004580","8023004580")</f>
        <v/>
      </c>
    </row>
    <row r="191">
      <c r="A191" s="4" t="inlineStr"/>
      <c r="B191" s="6" t="inlineStr">
        <is>
          <t>Цветмет</t>
        </is>
      </c>
      <c r="C191" s="5">
        <f>HYPERLINK("https://www.avito.ru/sheksna/uslugi/priem_loma_priem_tsvetnogo_loma_priem_chermeta_8023005429","Прием лома / Прием цветного лома / Прием чермета")</f>
        <v/>
      </c>
      <c r="D191" s="7" t="inlineStr">
        <is>
          <t>рп. Шексна, ДОЗ ул.</t>
        </is>
      </c>
      <c r="E191" s="15">
        <f>HYPERLINK("https://www.avito.ru/sheksna/uslugi/priem_loma_priem_tsvetnogo_loma_priem_chermeta_8023005429","8023005429")</f>
        <v/>
      </c>
    </row>
    <row r="192">
      <c r="A192" s="4" t="inlineStr"/>
      <c r="B192" s="6" t="inlineStr">
        <is>
          <t>Общее</t>
        </is>
      </c>
      <c r="C192" s="5">
        <f>HYPERLINK("https://www.avito.ru/volhov/uslugi/priem_i_vyvoz_metalloloma_sdat_lom_8023028862","Прием и вывоз металлолома / Сдать лом")</f>
        <v/>
      </c>
      <c r="D192" s="7" t="inlineStr">
        <is>
          <t>Волхов, Новгородская ул., 7</t>
        </is>
      </c>
      <c r="E192" s="15">
        <f>HYPERLINK("https://www.avito.ru/volhov/uslugi/priem_i_vyvoz_metalloloma_sdat_lom_8023028862","8023028862")</f>
        <v/>
      </c>
    </row>
    <row r="193">
      <c r="A193" s="4" t="inlineStr"/>
      <c r="B193" s="6" t="inlineStr">
        <is>
          <t>Общее</t>
        </is>
      </c>
      <c r="C193" s="5">
        <f>HYPERLINK("https://www.avito.ru/tihvin/uslugi/priem_i_vyvoz_metalloloma_priem_metalla_8023033877","Прием и вывоз металлолома / Прием металла")</f>
        <v/>
      </c>
      <c r="D193" s="7" t="inlineStr">
        <is>
          <t>Тихвин, Право-Вологодский тупик, 9</t>
        </is>
      </c>
      <c r="E193" s="15">
        <f>HYPERLINK("https://www.avito.ru/tihvin/uslugi/priem_i_vyvoz_metalloloma_priem_metalla_8023033877","8023033877")</f>
        <v/>
      </c>
    </row>
    <row r="194">
      <c r="A194" s="4" t="inlineStr"/>
      <c r="B194" s="6" t="inlineStr">
        <is>
          <t>Чермет</t>
        </is>
      </c>
      <c r="C194" s="5">
        <f>HYPERLINK("https://www.avito.ru/slantsy/uslugi/priem_metalloloma_priem_chernogo_loma_8023054555","Прием металлолома / Прием черного лома")</f>
        <v/>
      </c>
      <c r="D194" s="7" t="inlineStr">
        <is>
          <t>Сланцы, Сланцевское ш., 32Б</t>
        </is>
      </c>
      <c r="E194" s="15">
        <f>HYPERLINK("https://www.avito.ru/slantsy/uslugi/priem_metalloloma_priem_chernogo_loma_8023054555","8023054555")</f>
        <v/>
      </c>
    </row>
    <row r="195">
      <c r="A195" s="4" t="inlineStr"/>
      <c r="B195" s="6" t="inlineStr">
        <is>
          <t>Общее</t>
        </is>
      </c>
      <c r="C195" s="5">
        <f>HYPERLINK("https://www.avito.ru/sankt-peterburg/uslugi/priem_i_vyvoz_metalloloma_samovyvoz_loma_8023068585","Прием и вывоз металлолома / Самовывоз лома")</f>
        <v/>
      </c>
      <c r="D195" s="7" t="inlineStr">
        <is>
          <t>Санкт-Петербург, б-р Новаторов, 73к4А</t>
        </is>
      </c>
      <c r="E195" s="15">
        <f>HYPERLINK("https://www.avito.ru/sankt-peterburg/uslugi/priem_i_vyvoz_metalloloma_samovyvoz_loma_8023068585","8023068585")</f>
        <v/>
      </c>
    </row>
    <row r="196">
      <c r="A196" s="4" t="inlineStr"/>
      <c r="B196" s="6" t="inlineStr">
        <is>
          <t>Чермет</t>
        </is>
      </c>
      <c r="C196" s="5">
        <f>HYPERLINK("https://www.avito.ru/kudrovo/uslugi/priem_metalloloma_priem_chernogo_loma_8023070682","Прием металлолома / Прием черного лома")</f>
        <v/>
      </c>
      <c r="D196" s="7" t="inlineStr">
        <is>
          <t>Кудрово, мкр-н Южное Кудрово</t>
        </is>
      </c>
      <c r="E196" s="15">
        <f>HYPERLINK("https://www.avito.ru/kudrovo/uslugi/priem_metalloloma_priem_chernogo_loma_8023070682","8023070682")</f>
        <v/>
      </c>
    </row>
    <row r="197">
      <c r="A197" s="4" t="inlineStr"/>
      <c r="B197" s="6" t="inlineStr">
        <is>
          <t>Чермет</t>
        </is>
      </c>
      <c r="C197" s="5">
        <f>HYPERLINK("https://www.avito.ru/podporozhe/uslugi/priem_metalloloma_priem_chernogo_loma_opt_8023075505","Прием металлолома / Прием черного лома опт")</f>
        <v/>
      </c>
      <c r="D197" s="7" t="inlineStr">
        <is>
          <t>Подпорожье</t>
        </is>
      </c>
      <c r="E197" s="15">
        <f>HYPERLINK("https://www.avito.ru/podporozhe/uslugi/priem_metalloloma_priem_chernogo_loma_opt_8023075505","8023075505")</f>
        <v/>
      </c>
    </row>
    <row r="198">
      <c r="A198" s="4" t="inlineStr"/>
      <c r="B198" s="6" t="inlineStr">
        <is>
          <t>Общее</t>
        </is>
      </c>
      <c r="C198" s="5">
        <f>HYPERLINK("https://www.avito.ru/sankt-peterburg/uslugi/priem_metalla_demontazh_priem_metalloloma_8023197803","Прием металла / Демонтаж / Прием металлолома")</f>
        <v/>
      </c>
      <c r="D198" s="7" t="inlineStr">
        <is>
          <t>Санкт-Петербург, пр-т Науки, 19к1</t>
        </is>
      </c>
      <c r="E198" s="15">
        <f>HYPERLINK("https://www.avito.ru/sankt-peterburg/uslugi/priem_metalla_demontazh_priem_metalloloma_8023197803","8023197803")</f>
        <v/>
      </c>
    </row>
    <row r="199">
      <c r="A199" s="4" t="inlineStr"/>
      <c r="B199" s="6" t="inlineStr">
        <is>
          <t>Общее</t>
        </is>
      </c>
      <c r="C199" s="5">
        <f>HYPERLINK("https://www.avito.ru/sankt-peterburg/uslugi/priem_metalloloma_demontazh_priem_metalla_8023210350","Прием металлолома / Демонтаж / Прием металла")</f>
        <v/>
      </c>
      <c r="D199" s="7" t="inlineStr">
        <is>
          <t>Санкт-Петербург, пр-т Стачек, 70</t>
        </is>
      </c>
      <c r="E199" s="15">
        <f>HYPERLINK("https://www.avito.ru/sankt-peterburg/uslugi/priem_metalloloma_demontazh_priem_metalla_8023210350","8023210350")</f>
        <v/>
      </c>
    </row>
    <row r="200">
      <c r="A200" s="4" t="inlineStr"/>
      <c r="B200" s="6" t="inlineStr">
        <is>
          <t>Чермет</t>
        </is>
      </c>
      <c r="C200" s="5">
        <f>HYPERLINK("https://www.avito.ru/nevel/uslugi/priem_metalloloma_priem_chernogo_loma_8023228703","Прием металлолома / Прием черного лома")</f>
        <v/>
      </c>
      <c r="D200" s="7" t="inlineStr">
        <is>
          <t>Невель, ул. Урицкого, 116</t>
        </is>
      </c>
      <c r="E200" s="15">
        <f>HYPERLINK("https://www.avito.ru/nevel/uslugi/priem_metalloloma_priem_chernogo_loma_8023228703","8023228703")</f>
        <v/>
      </c>
    </row>
    <row r="201">
      <c r="A201" s="4" t="inlineStr"/>
      <c r="B201" s="6" t="inlineStr">
        <is>
          <t>Чермет</t>
        </is>
      </c>
      <c r="C201" s="5">
        <f>HYPERLINK("https://www.avito.ru/shlisselburg/uslugi/priem_metalloloma_priem_chernogo_loma_opt_8023234309","Прием металлолома / Прием черного лома опт")</f>
        <v/>
      </c>
      <c r="D201" s="7" t="inlineStr">
        <is>
          <t>Шлиссельбург, ул. Красный Тракт, 7А</t>
        </is>
      </c>
      <c r="E201" s="15">
        <f>HYPERLINK("https://www.avito.ru/shlisselburg/uslugi/priem_metalloloma_priem_chernogo_loma_opt_8023234309","8023234309")</f>
        <v/>
      </c>
    </row>
    <row r="202">
      <c r="A202" s="4" t="inlineStr"/>
      <c r="B202" s="6" t="inlineStr">
        <is>
          <t>Общее</t>
        </is>
      </c>
      <c r="C202" s="5">
        <f>HYPERLINK("https://www.avito.ru/sankt-peterburg/uslugi/priem_metalloloma_demontazh_vyvoz_metalla_8023240596","Прием металлолома / Демонтаж / Вывоз металла")</f>
        <v/>
      </c>
      <c r="D202" s="7" t="inlineStr">
        <is>
          <t>Санкт-Петербург, Бухарестская ул.</t>
        </is>
      </c>
      <c r="E202" s="15">
        <f>HYPERLINK("https://www.avito.ru/sankt-peterburg/uslugi/priem_metalloloma_demontazh_vyvoz_metalla_8023240596","8023240596")</f>
        <v/>
      </c>
    </row>
    <row r="203">
      <c r="A203" s="4" t="inlineStr"/>
      <c r="B203" s="6" t="inlineStr">
        <is>
          <t>Чермет</t>
        </is>
      </c>
      <c r="C203" s="5">
        <f>HYPERLINK("https://www.avito.ru/kingisepp/uslugi/priem_metalloloma_priem_chernogo_loma_8023301062","Прием металлолома / Прием черного лома")</f>
        <v/>
      </c>
      <c r="D203" s="7" t="inlineStr">
        <is>
          <t>Кингисепп, ул. Дорожников, 35</t>
        </is>
      </c>
      <c r="E203" s="15">
        <f>HYPERLINK("https://www.avito.ru/kingisepp/uslugi/priem_metalloloma_priem_chernogo_loma_8023301062","8023301062")</f>
        <v/>
      </c>
    </row>
    <row r="204">
      <c r="A204" s="4" t="inlineStr"/>
      <c r="B204" s="6" t="inlineStr">
        <is>
          <t>Общее</t>
        </is>
      </c>
      <c r="C204" s="5">
        <f>HYPERLINK("https://www.avito.ru/leningradskaya_oblast_lebyazhe/uslugi/priem_metalla_demontazh_priem_metalloloma_8023332563","Прием металла / Демонтаж / Прием металлолома")</f>
        <v/>
      </c>
      <c r="D204" s="7" t="inlineStr">
        <is>
          <t>городской пос. Лебяжье, Строительная ул., 10</t>
        </is>
      </c>
      <c r="E204" s="15">
        <f>HYPERLINK("https://www.avito.ru/leningradskaya_oblast_lebyazhe/uslugi/priem_metalla_demontazh_priem_metalloloma_8023332563","8023332563")</f>
        <v/>
      </c>
    </row>
    <row r="205">
      <c r="A205" s="4" t="inlineStr"/>
      <c r="B205" s="6" t="inlineStr">
        <is>
          <t>Общее</t>
        </is>
      </c>
      <c r="C205" s="5">
        <f>HYPERLINK("https://www.avito.ru/staraya/uslugi/priem_metalloloma_vyvoz_metalloloma_8023354444","Прием металлолома/ Вывоз металлолома")</f>
        <v/>
      </c>
      <c r="D205" s="7" t="inlineStr">
        <is>
          <t>Колтуши, Новосергиевский пр., 5Б</t>
        </is>
      </c>
      <c r="E205" s="15">
        <f>HYPERLINK("https://www.avito.ru/staraya/uslugi/priem_metalloloma_vyvoz_metalloloma_8023354444","8023354444")</f>
        <v/>
      </c>
    </row>
    <row r="206">
      <c r="A206" s="4" t="inlineStr"/>
      <c r="B206" s="6" t="inlineStr">
        <is>
          <t>Общее</t>
        </is>
      </c>
      <c r="C206" s="5">
        <f>HYPERLINK("https://www.avito.ru/gatchina/uslugi/priem_i_vyvoz_metalloloma_priem_metalla_8023409783","Прием и вывоз металлолома / Прием металла")</f>
        <v/>
      </c>
      <c r="D206" s="7" t="inlineStr">
        <is>
          <t>Гатчина, ул. Старая Дорога, 2</t>
        </is>
      </c>
      <c r="E206" s="15">
        <f>HYPERLINK("https://www.avito.ru/gatchina/uslugi/priem_i_vyvoz_metalloloma_priem_metalla_8023409783","8023409783")</f>
        <v/>
      </c>
    </row>
    <row r="207">
      <c r="A207" s="4" t="inlineStr"/>
      <c r="B207" s="6" t="inlineStr">
        <is>
          <t>РЗМ</t>
        </is>
      </c>
      <c r="C207" s="5">
        <f>HYPERLINK("https://www.avito.ru/sankt-peterburg/uslugi/priem_i_vyvoz_metalloloma_priem_redkih_metallov_8023414338","Прием и вывоз металлолома / Прием редких металлов")</f>
        <v/>
      </c>
      <c r="D207" s="7" t="inlineStr">
        <is>
          <t>Санкт-Петербург, ул. Савушкина, 2</t>
        </is>
      </c>
      <c r="E207" s="15">
        <f>HYPERLINK("https://www.avito.ru/sankt-peterburg/uslugi/priem_i_vyvoz_metalloloma_priem_redkih_metallov_8023414338","8023414338")</f>
        <v/>
      </c>
    </row>
    <row r="208">
      <c r="A208" s="4" t="inlineStr"/>
      <c r="B208" s="6" t="inlineStr">
        <is>
          <t>Цветмет</t>
        </is>
      </c>
      <c r="C208" s="5">
        <f>HYPERLINK("https://www.avito.ru/leningradskaya_oblast_nikolskoe/uslugi/priem_loma_tsvetnyh_metallov_8023459410","Прием лома цветных металлов")</f>
        <v/>
      </c>
      <c r="D208" s="7" t="inlineStr">
        <is>
          <t>Никольское</t>
        </is>
      </c>
      <c r="E208" s="15">
        <f>HYPERLINK("https://www.avito.ru/leningradskaya_oblast_nikolskoe/uslugi/priem_loma_tsvetnyh_metallov_8023459410","8023459410")</f>
        <v/>
      </c>
    </row>
    <row r="209">
      <c r="A209" s="4" t="inlineStr"/>
      <c r="B209" s="6" t="inlineStr">
        <is>
          <t>Цветмет</t>
        </is>
      </c>
      <c r="C209" s="5">
        <f>HYPERLINK("https://www.avito.ru/leningradskaya_oblast_primorsk/uslugi/priem_metalloloma_priem_tsvetnogo_loma_8023499507","Прием металлолома / Прием цветного лома")</f>
        <v/>
      </c>
      <c r="D209" s="7" t="inlineStr">
        <is>
          <t>Приморск, наб. Лебедева</t>
        </is>
      </c>
      <c r="E209" s="15">
        <f>HYPERLINK("https://www.avito.ru/leningradskaya_oblast_primorsk/uslugi/priem_metalloloma_priem_tsvetnogo_loma_8023499507","8023499507")</f>
        <v/>
      </c>
    </row>
    <row r="210">
      <c r="A210" s="4" t="inlineStr"/>
      <c r="B210" s="6" t="inlineStr">
        <is>
          <t>Чермет</t>
        </is>
      </c>
      <c r="C210" s="5">
        <f>HYPERLINK("https://www.avito.ru/novoselie/uslugi/priem_metalloloma_priem_chernogo_loma_8023505413","Прием металлолома / Прием черного лома")</f>
        <v/>
      </c>
      <c r="D210" s="7" t="inlineStr">
        <is>
          <t>городской пос. Новоселье, Красносельское ш.</t>
        </is>
      </c>
      <c r="E210" s="15">
        <f>HYPERLINK("https://www.avito.ru/novoselie/uslugi/priem_metalloloma_priem_chernogo_loma_8023505413","8023505413")</f>
        <v/>
      </c>
    </row>
    <row r="211">
      <c r="A211" s="4" t="inlineStr"/>
      <c r="B211" s="6" t="inlineStr">
        <is>
          <t>Чермет</t>
        </is>
      </c>
      <c r="C211" s="5">
        <f>HYPERLINK("https://www.avito.ru/staraya/uslugi/priem_metalloloma_priem_chernogo_loma_opt_8023521575","Прием металлолома / Прием черного лома опт")</f>
        <v/>
      </c>
      <c r="D211" s="7" t="inlineStr">
        <is>
          <t>Колтуши, Новосергиевский пр., 5Б</t>
        </is>
      </c>
      <c r="E211" s="15">
        <f>HYPERLINK("https://www.avito.ru/staraya/uslugi/priem_metalloloma_priem_chernogo_loma_opt_8023521575","8023521575")</f>
        <v/>
      </c>
    </row>
    <row r="212">
      <c r="A212" s="4" t="inlineStr"/>
      <c r="B212" s="6" t="inlineStr">
        <is>
          <t>Общее</t>
        </is>
      </c>
      <c r="C212" s="5">
        <f>HYPERLINK("https://www.avito.ru/vytegra/uslugi/priem_metalloloma_vyvoz_metalloloma_8023544567","Прием металлолома/ Вывоз металлолома")</f>
        <v/>
      </c>
      <c r="D212" s="7" t="inlineStr">
        <is>
          <t>Вытегра, Вологодская ул., 1</t>
        </is>
      </c>
      <c r="E212" s="15">
        <f>HYPERLINK("https://www.avito.ru/vytegra/uslugi/priem_metalloloma_vyvoz_metalloloma_8023544567","8023544567")</f>
        <v/>
      </c>
    </row>
    <row r="213">
      <c r="A213" s="4" t="inlineStr"/>
      <c r="B213" s="6" t="inlineStr">
        <is>
          <t>Чермет</t>
        </is>
      </c>
      <c r="C213" s="5">
        <f>HYPERLINK("https://www.avito.ru/sankt-peterburg/uslugi/priem_metalloloma_priem_chernogo_loma_8023553027","Прием металлолома / Прием черного лома")</f>
        <v/>
      </c>
      <c r="D213" s="7" t="inlineStr">
        <is>
          <t>Санкт-Петербург, Гражданский пр-т, 116к1</t>
        </is>
      </c>
      <c r="E213" s="15">
        <f>HYPERLINK("https://www.avito.ru/sankt-peterburg/uslugi/priem_metalloloma_priem_chernogo_loma_8023553027","8023553027")</f>
        <v/>
      </c>
    </row>
    <row r="214">
      <c r="A214" s="4" t="inlineStr"/>
      <c r="B214" s="6" t="inlineStr">
        <is>
          <t>Общее</t>
        </is>
      </c>
      <c r="C214" s="5">
        <f>HYPERLINK("https://www.avito.ru/sankt-peterburg/uslugi/priem_metalloloma_skupka_metalla_8023563857","Прием металлолома / Скупка металла")</f>
        <v/>
      </c>
      <c r="D214" s="7" t="inlineStr">
        <is>
          <t>Санкт-Петербург, Заневский пр-т, 69</t>
        </is>
      </c>
      <c r="E214" s="15">
        <f>HYPERLINK("https://www.avito.ru/sankt-peterburg/uslugi/priem_metalloloma_skupka_metalla_8023563857","8023563857")</f>
        <v/>
      </c>
    </row>
    <row r="215">
      <c r="A215" s="4" t="inlineStr"/>
      <c r="B215" s="6" t="inlineStr">
        <is>
          <t>Общее</t>
        </is>
      </c>
      <c r="C215" s="5">
        <f>HYPERLINK("https://www.avito.ru/borovichi/uslugi/priem_i_vyvoz_metalloloma_sdat_lom_8023592758","Прием и вывоз металлолома / Сдать лом")</f>
        <v/>
      </c>
      <c r="D215" s="7" t="inlineStr">
        <is>
          <t>Боровичи, Новгородская ул., 1</t>
        </is>
      </c>
      <c r="E215" s="15">
        <f>HYPERLINK("https://www.avito.ru/borovichi/uslugi/priem_i_vyvoz_metalloloma_sdat_lom_8023592758","8023592758")</f>
        <v/>
      </c>
    </row>
    <row r="216">
      <c r="A216" s="4" t="inlineStr"/>
      <c r="B216" s="6" t="inlineStr">
        <is>
          <t>РЗМ</t>
        </is>
      </c>
      <c r="C216" s="5">
        <f>HYPERLINK("https://www.avito.ru/leningradskaya_oblast_primorsk/uslugi/priem_i_vyvoz_metalloloma_priem_redkih_metallov_8023603218","Прием и вывоз металлолома / Прием редких металлов")</f>
        <v/>
      </c>
      <c r="D216" s="7" t="inlineStr">
        <is>
          <t>Приморск, наб. Лебедева</t>
        </is>
      </c>
      <c r="E216" s="15">
        <f>HYPERLINK("https://www.avito.ru/leningradskaya_oblast_primorsk/uslugi/priem_i_vyvoz_metalloloma_priem_redkih_metallov_8023603218","8023603218")</f>
        <v/>
      </c>
    </row>
    <row r="217">
      <c r="A217" s="4" t="inlineStr"/>
      <c r="B217" s="6" t="inlineStr">
        <is>
          <t>Цветмет</t>
        </is>
      </c>
      <c r="C217" s="5">
        <f>HYPERLINK("https://www.avito.ru/murino/uslugi/priem_metalloloma_priem_tsvetnogo_loma_8023648921","Прием металлолома / Прием цветного лома")</f>
        <v/>
      </c>
      <c r="D217" s="7" t="inlineStr">
        <is>
          <t>Мурино, Центральная ул., 50А</t>
        </is>
      </c>
      <c r="E217" s="15">
        <f>HYPERLINK("https://www.avito.ru/murino/uslugi/priem_metalloloma_priem_tsvetnogo_loma_8023648921","8023648921")</f>
        <v/>
      </c>
    </row>
    <row r="218">
      <c r="A218" s="4" t="inlineStr"/>
      <c r="B218" s="6" t="inlineStr">
        <is>
          <t>Общее</t>
        </is>
      </c>
      <c r="C218" s="5">
        <f>HYPERLINK("https://www.avito.ru/sertolovo/uslugi/priem_metalla_sdat_lom_vyvoz_loma_8023667255","Приём металла /Сдать лом / Вывоз лома")</f>
        <v/>
      </c>
      <c r="D218" s="7" t="inlineStr">
        <is>
          <t>Сертолово, Песочная ул., 8к1</t>
        </is>
      </c>
      <c r="E218" s="15">
        <f>HYPERLINK("https://www.avito.ru/sertolovo/uslugi/priem_metalla_sdat_lom_vyvoz_loma_8023667255","8023667255")</f>
        <v/>
      </c>
    </row>
    <row r="219">
      <c r="A219" s="4" t="inlineStr"/>
      <c r="B219" s="6" t="inlineStr">
        <is>
          <t>Общее</t>
        </is>
      </c>
      <c r="C219" s="5">
        <f>HYPERLINK("https://www.avito.ru/ostrov/uslugi/priem_metalla_demontazh_priem_metalloloma_8023687091","Прием металла / Демонтаж / Прием металлолома")</f>
        <v/>
      </c>
      <c r="D219" s="7" t="inlineStr">
        <is>
          <t>Остров, ул. Карла Маркса, 90Б</t>
        </is>
      </c>
      <c r="E219" s="15">
        <f>HYPERLINK("https://www.avito.ru/ostrov/uslugi/priem_metalla_demontazh_priem_metalloloma_8023687091","8023687091")</f>
        <v/>
      </c>
    </row>
    <row r="220">
      <c r="A220" s="4" t="inlineStr"/>
      <c r="B220" s="6" t="inlineStr">
        <is>
          <t>Общее</t>
        </is>
      </c>
      <c r="C220" s="5">
        <f>HYPERLINK("https://www.avito.ru/sankt-peterburg/uslugi/priem_metalla_sdat_lom_vyvoz_loma_8023700811","Приём металла /Сдать лом / Вывоз лома")</f>
        <v/>
      </c>
      <c r="D220" s="7" t="inlineStr">
        <is>
          <t>Санкт-Петербург, Дворцовая пл.</t>
        </is>
      </c>
      <c r="E220" s="15">
        <f>HYPERLINK("https://www.avito.ru/sankt-peterburg/uslugi/priem_metalla_sdat_lom_vyvoz_loma_8023700811","8023700811")</f>
        <v/>
      </c>
    </row>
    <row r="221">
      <c r="A221" s="4" t="inlineStr"/>
      <c r="B221" s="6" t="inlineStr">
        <is>
          <t>Общее</t>
        </is>
      </c>
      <c r="C221" s="5">
        <f>HYPERLINK("https://www.avito.ru/ivangorod/uslugi/priem_metalloloma_demontazh_vyvoz_metalla_8023757371","Прием металлолома / Демонтаж / Вывоз металла")</f>
        <v/>
      </c>
      <c r="D221" s="7" t="inlineStr">
        <is>
          <t>Ивангород, Кингисеппское ш.</t>
        </is>
      </c>
      <c r="E221" s="15">
        <f>HYPERLINK("https://www.avito.ru/ivangorod/uslugi/priem_metalloloma_demontazh_vyvoz_metalla_8023757371","8023757371")</f>
        <v/>
      </c>
    </row>
    <row r="222">
      <c r="A222" s="4" t="inlineStr"/>
      <c r="B222" s="6" t="inlineStr">
        <is>
          <t>Общее</t>
        </is>
      </c>
      <c r="C222" s="5">
        <f>HYPERLINK("https://www.avito.ru/vsevolozhsk/uslugi/priem_metalla_demontazh_priem_metalloloma_8023772773","Прием металла / Демонтаж / Прием металлолома")</f>
        <v/>
      </c>
      <c r="D222" s="7" t="inlineStr">
        <is>
          <t>Всеволожск, Лиственная ул., 16</t>
        </is>
      </c>
      <c r="E222" s="15">
        <f>HYPERLINK("https://www.avito.ru/vsevolozhsk/uslugi/priem_metalla_demontazh_priem_metalloloma_8023772773","8023772773")</f>
        <v/>
      </c>
    </row>
    <row r="223">
      <c r="A223" s="4" t="inlineStr"/>
      <c r="B223" s="6" t="inlineStr">
        <is>
          <t>Чермет</t>
        </is>
      </c>
      <c r="C223" s="5">
        <f>HYPERLINK("https://www.avito.ru/sankt-peterburg/uslugi/priem_metalloloma_priem_chernogo_loma_8023857552","Прием металлолома / Прием черного лома")</f>
        <v/>
      </c>
      <c r="D223" s="7" t="inlineStr">
        <is>
          <t>Санкт-Петербург, пл. Стачек</t>
        </is>
      </c>
      <c r="E223" s="15">
        <f>HYPERLINK("https://www.avito.ru/sankt-peterburg/uslugi/priem_metalloloma_priem_chernogo_loma_8023857552","8023857552")</f>
        <v/>
      </c>
    </row>
    <row r="224">
      <c r="A224" s="4" t="inlineStr"/>
      <c r="B224" s="6" t="inlineStr">
        <is>
          <t>Чермет</t>
        </is>
      </c>
      <c r="C224" s="5">
        <f>HYPERLINK("https://www.avito.ru/kamennogorsk/uslugi/priem_metalloloma_priem_chernogo_loma_opt_8022910285","Прием металлолома / Прием черного лома опт")</f>
        <v/>
      </c>
      <c r="D224" s="7" t="inlineStr">
        <is>
          <t>Каменногорск, Ленинградское ш.</t>
        </is>
      </c>
      <c r="E224" s="15">
        <f>HYPERLINK("https://www.avito.ru/kamennogorsk/uslugi/priem_metalloloma_priem_chernogo_loma_opt_8022910285","8022910285")</f>
        <v/>
      </c>
    </row>
    <row r="225">
      <c r="A225" s="4" t="inlineStr"/>
      <c r="B225" s="6" t="inlineStr">
        <is>
          <t>Общее</t>
        </is>
      </c>
      <c r="C225" s="5">
        <f>HYPERLINK("https://www.avito.ru/sankt-peterburg/uslugi/priem_i_vyvoz_metalloloma_priem_metalla_8022913806","Прием и вывоз металлолома / Прием металла")</f>
        <v/>
      </c>
      <c r="D225" s="7" t="inlineStr">
        <is>
          <t>Санкт-Петербург, пл. Стачек</t>
        </is>
      </c>
      <c r="E225" s="15">
        <f>HYPERLINK("https://www.avito.ru/sankt-peterburg/uslugi/priem_i_vyvoz_metalloloma_priem_metalla_8022913806","8022913806")</f>
        <v/>
      </c>
    </row>
    <row r="226">
      <c r="A226" s="4" t="inlineStr"/>
      <c r="B226" s="6" t="inlineStr">
        <is>
          <t>Общее</t>
        </is>
      </c>
      <c r="C226" s="5">
        <f>HYPERLINK("https://www.avito.ru/shlisselburg/uslugi/priem_metalla_demontazh_priem_metalloloma_8022921132","Прием металла / Демонтаж / Прием металлолома")</f>
        <v/>
      </c>
      <c r="D226" s="7" t="inlineStr">
        <is>
          <t>Шлиссельбург, ул. Красный Тракт, 7А</t>
        </is>
      </c>
      <c r="E226" s="15">
        <f>HYPERLINK("https://www.avito.ru/shlisselburg/uslugi/priem_metalla_demontazh_priem_metalloloma_8022921132","8022921132")</f>
        <v/>
      </c>
    </row>
    <row r="227">
      <c r="A227" s="4" t="inlineStr"/>
      <c r="B227" s="6" t="inlineStr">
        <is>
          <t>Общее</t>
        </is>
      </c>
      <c r="C227" s="5">
        <f>HYPERLINK("https://www.avito.ru/murino/uslugi/priem_i_vyvoz_metalloloma_priem_metalla_8022928449","Прием и вывоз металлолома / Прием металла")</f>
        <v/>
      </c>
      <c r="D227" s="7" t="inlineStr">
        <is>
          <t>Мурино, Центральная ул., 50А</t>
        </is>
      </c>
      <c r="E227" s="15">
        <f>HYPERLINK("https://www.avito.ru/murino/uslugi/priem_i_vyvoz_metalloloma_priem_metalla_8022928449","8022928449")</f>
        <v/>
      </c>
    </row>
    <row r="228">
      <c r="A228" s="4" t="inlineStr"/>
      <c r="B228" s="6" t="inlineStr">
        <is>
          <t>Общее</t>
        </is>
      </c>
      <c r="C228" s="5">
        <f>HYPERLINK("https://www.avito.ru/yanino-1/uslugi/priem_i_vyvoz_metalloloma_sdat_lom_8022937882","Прием и вывоз металлолома / Сдать лом")</f>
        <v/>
      </c>
      <c r="D228" s="7" t="inlineStr">
        <is>
          <t>городской пос. Янино-1, Кольцевая ул., 3</t>
        </is>
      </c>
      <c r="E228" s="15">
        <f>HYPERLINK("https://www.avito.ru/yanino-1/uslugi/priem_i_vyvoz_metalloloma_sdat_lom_8022937882","8022937882")</f>
        <v/>
      </c>
    </row>
    <row r="229">
      <c r="A229" s="4" t="inlineStr"/>
      <c r="B229" s="6" t="inlineStr">
        <is>
          <t>Общее</t>
        </is>
      </c>
      <c r="C229" s="5">
        <f>HYPERLINK("https://www.avito.ru/volosovo/uslugi/priem_metalloloma_skupka_metalla_8022943619","Прием металлолома / Скупка металла")</f>
        <v/>
      </c>
      <c r="D229" s="7" t="inlineStr">
        <is>
          <t>Волосово, ул. Восстания, 6</t>
        </is>
      </c>
      <c r="E229" s="15">
        <f>HYPERLINK("https://www.avito.ru/volosovo/uslugi/priem_metalloloma_skupka_metalla_8022943619","8022943619")</f>
        <v/>
      </c>
    </row>
    <row r="230">
      <c r="A230" s="4" t="inlineStr"/>
      <c r="B230" s="6" t="inlineStr">
        <is>
          <t>Общее</t>
        </is>
      </c>
      <c r="C230" s="5">
        <f>HYPERLINK("https://www.avito.ru/vysotsk/uslugi/priem_metalloloma_priem_loma_demontazh_8022957959","Прием металлолома / Прием лома / Демонтаж")</f>
        <v/>
      </c>
      <c r="D230" s="7" t="inlineStr">
        <is>
          <t>Высоцк, Центральная ул.</t>
        </is>
      </c>
      <c r="E230" s="15">
        <f>HYPERLINK("https://www.avito.ru/vysotsk/uslugi/priem_metalloloma_priem_loma_demontazh_8022957959","8022957959")</f>
        <v/>
      </c>
    </row>
    <row r="231">
      <c r="A231" s="4" t="inlineStr"/>
      <c r="B231" s="6" t="inlineStr">
        <is>
          <t>Чермет</t>
        </is>
      </c>
      <c r="C231" s="5">
        <f>HYPERLINK("https://www.avito.ru/bugry/uslugi/priem_metalloloma_priem_chernogo_loma_8022965578","Прием металлолома / Прием черного лома")</f>
        <v/>
      </c>
      <c r="D231" s="7" t="inlineStr">
        <is>
          <t>Бугры, Шоссейная ул., 35Вк1</t>
        </is>
      </c>
      <c r="E231" s="15">
        <f>HYPERLINK("https://www.avito.ru/bugry/uslugi/priem_metalloloma_priem_chernogo_loma_8022965578","8022965578")</f>
        <v/>
      </c>
    </row>
    <row r="232">
      <c r="A232" s="4" t="inlineStr"/>
      <c r="B232" s="6" t="inlineStr">
        <is>
          <t>Чермет</t>
        </is>
      </c>
      <c r="C232" s="5">
        <f>HYPERLINK("https://www.avito.ru/svetogorsk/uslugi/priem_metalloloma_priem_chernogo_loma_8023006182","Прием металлолома / Прием черного лома")</f>
        <v/>
      </c>
      <c r="D232" s="7" t="inlineStr">
        <is>
          <t>Светогорск</t>
        </is>
      </c>
      <c r="E232" s="15">
        <f>HYPERLINK("https://www.avito.ru/svetogorsk/uslugi/priem_metalloloma_priem_chernogo_loma_8023006182","8023006182")</f>
        <v/>
      </c>
    </row>
    <row r="233">
      <c r="A233" s="4" t="inlineStr"/>
      <c r="B233" s="6" t="inlineStr">
        <is>
          <t>Чермет</t>
        </is>
      </c>
      <c r="C233" s="5">
        <f>HYPERLINK("https://www.avito.ru/novoe_devyatkino/uslugi/priem_metalloloma_priem_chernogo_loma_8023008151","Прием металлолома / Прием черного лома")</f>
        <v/>
      </c>
      <c r="D233" s="7" t="inlineStr">
        <is>
          <t>д. Новое Девяткино, Главная ул., 48</t>
        </is>
      </c>
      <c r="E233" s="15">
        <f>HYPERLINK("https://www.avito.ru/novoe_devyatkino/uslugi/priem_metalloloma_priem_chernogo_loma_8023008151","8023008151")</f>
        <v/>
      </c>
    </row>
    <row r="234">
      <c r="A234" s="4" t="inlineStr"/>
      <c r="B234" s="6" t="inlineStr">
        <is>
          <t>Общее</t>
        </is>
      </c>
      <c r="C234" s="5">
        <f>HYPERLINK("https://www.avito.ru/pestovo/uslugi/priem_metalloloma_vyvoz_metalloloma_8023017038","Прием металлолома/ Вывоз металлолома")</f>
        <v/>
      </c>
      <c r="D234" s="7" t="inlineStr">
        <is>
          <t>Пестово, Луговая ул., 4</t>
        </is>
      </c>
      <c r="E234" s="15">
        <f>HYPERLINK("https://www.avito.ru/pestovo/uslugi/priem_metalloloma_vyvoz_metalloloma_8023017038","8023017038")</f>
        <v/>
      </c>
    </row>
    <row r="235">
      <c r="A235" s="4" t="inlineStr"/>
      <c r="B235" s="6" t="inlineStr">
        <is>
          <t>Цветмет</t>
        </is>
      </c>
      <c r="C235" s="5">
        <f>HYPERLINK("https://www.avito.ru/leningradskaya_oblast_otradnoe/uslugi/priem_loma_tsvetnyh_metallov_8023026756","Прием лома цветных металлов")</f>
        <v/>
      </c>
      <c r="D235" s="7" t="inlineStr">
        <is>
          <t>Отрадное, Заводская ул., 1А</t>
        </is>
      </c>
      <c r="E235" s="15">
        <f>HYPERLINK("https://www.avito.ru/leningradskaya_oblast_otradnoe/uslugi/priem_loma_tsvetnyh_metallov_8023026756","8023026756")</f>
        <v/>
      </c>
    </row>
    <row r="236">
      <c r="A236" s="4" t="inlineStr"/>
      <c r="B236" s="6" t="inlineStr">
        <is>
          <t>Чермет</t>
        </is>
      </c>
      <c r="C236" s="5">
        <f>HYPERLINK("https://www.avito.ru/leningradskaya_oblast_primorsk/uslugi/priem_metalloloma_priem_chernogo_loma_8023035534","Прием металлолома / Прием черного лома")</f>
        <v/>
      </c>
      <c r="D236" s="7" t="inlineStr">
        <is>
          <t>Приморск, наб. Лебедева</t>
        </is>
      </c>
      <c r="E236" s="15">
        <f>HYPERLINK("https://www.avito.ru/leningradskaya_oblast_primorsk/uslugi/priem_metalloloma_priem_chernogo_loma_8023035534","8023035534")</f>
        <v/>
      </c>
    </row>
    <row r="237">
      <c r="A237" s="4" t="inlineStr"/>
      <c r="B237" s="6" t="inlineStr">
        <is>
          <t>Общее</t>
        </is>
      </c>
      <c r="C237" s="5">
        <f>HYPERLINK("https://www.avito.ru/pikalevo/uslugi/priem_i_vyvoz_metalloloma_samovyvoz_loma_8023056151","Прием и вывоз металлолома / Самовывоз лома")</f>
        <v/>
      </c>
      <c r="D237" s="7" t="inlineStr">
        <is>
          <t>Пикалёво, Советская ул.</t>
        </is>
      </c>
      <c r="E237" s="15">
        <f>HYPERLINK("https://www.avito.ru/pikalevo/uslugi/priem_i_vyvoz_metalloloma_samovyvoz_loma_8023056151","8023056151")</f>
        <v/>
      </c>
    </row>
    <row r="238">
      <c r="A238" s="4" t="inlineStr"/>
      <c r="B238" s="6" t="inlineStr">
        <is>
          <t>Цветмет</t>
        </is>
      </c>
      <c r="C238" s="5">
        <f>HYPERLINK("https://www.avito.ru/kamennogorsk/uslugi/priem_tsvetnogo_metalloloma_8023067467","Прием цветного металлолома")</f>
        <v/>
      </c>
      <c r="D238" s="7" t="inlineStr">
        <is>
          <t>Каменногорск, Ленинградское ш.</t>
        </is>
      </c>
      <c r="E238" s="15">
        <f>HYPERLINK("https://www.avito.ru/kamennogorsk/uslugi/priem_tsvetnogo_metalloloma_8023067467","8023067467")</f>
        <v/>
      </c>
    </row>
    <row r="239">
      <c r="A239" s="4" t="inlineStr"/>
      <c r="B239" s="6" t="inlineStr">
        <is>
          <t>Общее</t>
        </is>
      </c>
      <c r="C239" s="5">
        <f>HYPERLINK("https://www.avito.ru/gostilitsy/uslugi/priem_i_vyvoz_metalloloma_samovyvoz_loma_8023104068","Прием и вывоз металлолома / Самовывоз лома")</f>
        <v/>
      </c>
      <c r="D239" s="7" t="inlineStr">
        <is>
          <t>д. Оржицы</t>
        </is>
      </c>
      <c r="E239" s="15">
        <f>HYPERLINK("https://www.avito.ru/gostilitsy/uslugi/priem_i_vyvoz_metalloloma_samovyvoz_loma_8023104068","8023104068")</f>
        <v/>
      </c>
    </row>
    <row r="240">
      <c r="A240" s="4" t="inlineStr"/>
      <c r="B240" s="6" t="inlineStr">
        <is>
          <t>Общее</t>
        </is>
      </c>
      <c r="C240" s="5">
        <f>HYPERLINK("https://www.avito.ru/kamennogorsk/uslugi/priem_metalla_demontazh_priem_metalloloma_8023119990","Прием металла / Демонтаж / Прием металлолома")</f>
        <v/>
      </c>
      <c r="D240" s="7" t="inlineStr">
        <is>
          <t>Каменногорск, Ленинградское ш.</t>
        </is>
      </c>
      <c r="E240" s="15">
        <f>HYPERLINK("https://www.avito.ru/kamennogorsk/uslugi/priem_metalla_demontazh_priem_metalloloma_8023119990","8023119990")</f>
        <v/>
      </c>
    </row>
    <row r="241">
      <c r="A241" s="4" t="inlineStr"/>
      <c r="B241" s="6" t="inlineStr">
        <is>
          <t>Цветмет</t>
        </is>
      </c>
      <c r="C241" s="5">
        <f>HYPERLINK("https://www.avito.ru/yanino-1/uslugi/priem_metalloloma_priem_tsvetnogo_loma_8023124809","Прием металлолома / Прием цветного лома")</f>
        <v/>
      </c>
      <c r="D241" s="7" t="inlineStr">
        <is>
          <t>городской пос. Янино-1, Кольцевая ул., 3</t>
        </is>
      </c>
      <c r="E241" s="15">
        <f>HYPERLINK("https://www.avito.ru/yanino-1/uslugi/priem_metalloloma_priem_tsvetnogo_loma_8023124809","8023124809")</f>
        <v/>
      </c>
    </row>
    <row r="242">
      <c r="A242" s="4" t="inlineStr"/>
      <c r="B242" s="6" t="inlineStr">
        <is>
          <t>Общее</t>
        </is>
      </c>
      <c r="C242" s="5">
        <f>HYPERLINK("https://www.avito.ru/krasnaya_dolina/uslugi/priem_metalla_sdat_lom_vyvoz_loma_8023144174","Приём металла /Сдать лом / Вывоз лома")</f>
        <v/>
      </c>
      <c r="D242" s="7" t="inlineStr">
        <is>
          <t>пос. Красная Долина, Центральное ш.</t>
        </is>
      </c>
      <c r="E242" s="15">
        <f>HYPERLINK("https://www.avito.ru/krasnaya_dolina/uslugi/priem_metalla_sdat_lom_vyvoz_loma_8023144174","8023144174")</f>
        <v/>
      </c>
    </row>
    <row r="243">
      <c r="A243" s="4" t="inlineStr"/>
      <c r="B243" s="6" t="inlineStr">
        <is>
          <t>Чермет</t>
        </is>
      </c>
      <c r="C243" s="5">
        <f>HYPERLINK("https://www.avito.ru/sankt-peterburg/uslugi/priem_metalloloma_priem_chernogo_loma_opt_8023153196","Прием металлолома / Прием черного лома опт")</f>
        <v/>
      </c>
      <c r="D243" s="7" t="inlineStr">
        <is>
          <t>Санкт-Петербург, Дворцовая пл.</t>
        </is>
      </c>
      <c r="E243" s="15">
        <f>HYPERLINK("https://www.avito.ru/sankt-peterburg/uslugi/priem_metalloloma_priem_chernogo_loma_opt_8023153196","8023153196")</f>
        <v/>
      </c>
    </row>
    <row r="244">
      <c r="A244" s="4" t="inlineStr"/>
      <c r="B244" s="6" t="inlineStr">
        <is>
          <t>Цветмет</t>
        </is>
      </c>
      <c r="C244" s="5">
        <f>HYPERLINK("https://www.avito.ru/novoselie/uslugi/priem_loma_priem_tsvetnogo_loma_priem_chermeta_8023160412","Прием лома / Прием цветного лома / Прием чермета")</f>
        <v/>
      </c>
      <c r="D244" s="7" t="inlineStr">
        <is>
          <t>городской пос. Новоселье, Красносельское ш.</t>
        </is>
      </c>
      <c r="E244" s="15">
        <f>HYPERLINK("https://www.avito.ru/novoselie/uslugi/priem_loma_priem_tsvetnogo_loma_priem_chermeta_8023160412","8023160412")</f>
        <v/>
      </c>
    </row>
    <row r="245">
      <c r="A245" s="4" t="inlineStr"/>
      <c r="B245" s="6" t="inlineStr">
        <is>
          <t>Чермет</t>
        </is>
      </c>
      <c r="C245" s="5">
        <f>HYPERLINK("https://www.avito.ru/syasstroy/uslugi/priem_metalloloma_priem_chernogo_loma_opt_8023160441","Прием металлолома / Прием черного лома опт")</f>
        <v/>
      </c>
      <c r="D245" s="7" t="inlineStr">
        <is>
          <t>Сясьстрой, Петрозаводская ул., 34</t>
        </is>
      </c>
      <c r="E245" s="15">
        <f>HYPERLINK("https://www.avito.ru/syasstroy/uslugi/priem_metalloloma_priem_chernogo_loma_opt_8023160441","8023160441")</f>
        <v/>
      </c>
    </row>
    <row r="246">
      <c r="A246" s="4" t="inlineStr"/>
      <c r="B246" s="6" t="inlineStr">
        <is>
          <t>Цветмет</t>
        </is>
      </c>
      <c r="C246" s="5">
        <f>HYPERLINK("https://www.avito.ru/leningradskaya_oblast_otradnoe/uslugi/priem_loma_priem_tsvetnogo_loma_priem_chermeta_8023190373","Прием лома / Прием цветного лома / Прием чермета")</f>
        <v/>
      </c>
      <c r="D246" s="7" t="inlineStr">
        <is>
          <t>Отрадное, Заводская ул., 1А</t>
        </is>
      </c>
      <c r="E246" s="15">
        <f>HYPERLINK("https://www.avito.ru/leningradskaya_oblast_otradnoe/uslugi/priem_loma_priem_tsvetnogo_loma_priem_chermeta_8023190373","8023190373")</f>
        <v/>
      </c>
    </row>
    <row r="247">
      <c r="A247" s="4" t="inlineStr"/>
      <c r="B247" s="6" t="inlineStr">
        <is>
          <t>Цветмет</t>
        </is>
      </c>
      <c r="C247" s="5">
        <f>HYPERLINK("https://www.avito.ru/voloshovo/uslugi/priem_tsvetnogo_metalloloma_8023193329","Прием цветного металлолома")</f>
        <v/>
      </c>
      <c r="D247" s="7" t="inlineStr">
        <is>
          <t>пос. Волошово, Школьная ул.</t>
        </is>
      </c>
      <c r="E247" s="15">
        <f>HYPERLINK("https://www.avito.ru/voloshovo/uslugi/priem_tsvetnogo_metalloloma_8023193329","8023193329")</f>
        <v/>
      </c>
    </row>
    <row r="248">
      <c r="A248" s="4" t="inlineStr"/>
      <c r="B248" s="6" t="inlineStr">
        <is>
          <t>Общее</t>
        </is>
      </c>
      <c r="C248" s="5">
        <f>HYPERLINK("https://www.avito.ru/kommynary/uslugi/priem_metalloloma_skupka_metalla_8023196052","Прием металлолома / Скупка металла")</f>
        <v/>
      </c>
      <c r="D248" s="7" t="inlineStr">
        <is>
          <t>пос. Коммунары, Центральная ул.</t>
        </is>
      </c>
      <c r="E248" s="15">
        <f>HYPERLINK("https://www.avito.ru/kommynary/uslugi/priem_metalloloma_skupka_metalla_8023196052","8023196052")</f>
        <v/>
      </c>
    </row>
    <row r="249">
      <c r="A249" s="4" t="inlineStr"/>
      <c r="B249" s="6" t="inlineStr">
        <is>
          <t>Цветмет</t>
        </is>
      </c>
      <c r="C249" s="5">
        <f>HYPERLINK("https://www.avito.ru/novoselie/uslugi/priem_loma_tsvetnyh_metallov_8023271885","Прием лома цветных металлов")</f>
        <v/>
      </c>
      <c r="D249" s="7" t="inlineStr">
        <is>
          <t>городской пос. Новоселье, Красносельское ш.</t>
        </is>
      </c>
      <c r="E249" s="15">
        <f>HYPERLINK("https://www.avito.ru/novoselie/uslugi/priem_loma_tsvetnyh_metallov_8023271885","8023271885")</f>
        <v/>
      </c>
    </row>
    <row r="250">
      <c r="A250" s="4" t="inlineStr"/>
      <c r="B250" s="6" t="inlineStr">
        <is>
          <t>Общее</t>
        </is>
      </c>
      <c r="C250" s="5">
        <f>HYPERLINK("https://www.avito.ru/sankt-peterburg/uslugi/priem_metalloloma_skupka_metalla_8023272261","Прием металлолома / Скупка металла")</f>
        <v/>
      </c>
      <c r="D250" s="7" t="inlineStr">
        <is>
          <t>Санкт-Петербург, пр-т Стачек, 70</t>
        </is>
      </c>
      <c r="E250" s="15">
        <f>HYPERLINK("https://www.avito.ru/sankt-peterburg/uslugi/priem_metalloloma_skupka_metalla_8023272261","8023272261")</f>
        <v/>
      </c>
    </row>
    <row r="251">
      <c r="A251" s="4" t="inlineStr"/>
      <c r="B251" s="6" t="inlineStr">
        <is>
          <t>Чермет</t>
        </is>
      </c>
      <c r="C251" s="5">
        <f>HYPERLINK("https://www.avito.ru/sankt-peterburg/uslugi/priem_metalloloma_priem_chernogo_loma_8023277910","Прием металлолома / Прием черного лома")</f>
        <v/>
      </c>
      <c r="D251" s="7" t="inlineStr">
        <is>
          <t>Санкт-Петербург, пр-т Стачек, 70</t>
        </is>
      </c>
      <c r="E251" s="15">
        <f>HYPERLINK("https://www.avito.ru/sankt-peterburg/uslugi/priem_metalloloma_priem_chernogo_loma_8023277910","8023277910")</f>
        <v/>
      </c>
    </row>
    <row r="252">
      <c r="A252" s="4" t="inlineStr"/>
      <c r="B252" s="6" t="inlineStr">
        <is>
          <t>Цветмет</t>
        </is>
      </c>
      <c r="C252" s="5">
        <f>HYPERLINK("https://www.avito.ru/sankt-peterburg/uslugi/priem_tsvetnogo_metalloloma_8023304020","Прием цветного металлолома")</f>
        <v/>
      </c>
      <c r="D252" s="7" t="inlineStr">
        <is>
          <t>Санкт-Петербург, Московская пл.</t>
        </is>
      </c>
      <c r="E252" s="15">
        <f>HYPERLINK("https://www.avito.ru/sankt-peterburg/uslugi/priem_tsvetnogo_metalloloma_8023304020","8023304020")</f>
        <v/>
      </c>
    </row>
    <row r="253">
      <c r="A253" s="4" t="inlineStr"/>
      <c r="B253" s="6" t="inlineStr">
        <is>
          <t>Чермет</t>
        </is>
      </c>
      <c r="C253" s="5">
        <f>HYPERLINK("https://www.avito.ru/ivangorod/uslugi/priem_metalloloma_priem_chernogo_loma_8023326634","Прием металлолома / Прием черного лома")</f>
        <v/>
      </c>
      <c r="D253" s="7" t="inlineStr">
        <is>
          <t>Ивангород, Кингисеппское ш.</t>
        </is>
      </c>
      <c r="E253" s="15">
        <f>HYPERLINK("https://www.avito.ru/ivangorod/uslugi/priem_metalloloma_priem_chernogo_loma_8023326634","8023326634")</f>
        <v/>
      </c>
    </row>
    <row r="254">
      <c r="A254" s="4" t="inlineStr"/>
      <c r="B254" s="6" t="inlineStr">
        <is>
          <t>Цветмет</t>
        </is>
      </c>
      <c r="C254" s="5">
        <f>HYPERLINK("https://www.avito.ru/staraya/uslugi/priem_tsvetnogo_metalloloma_8023354125","Прием цветного металлолома")</f>
        <v/>
      </c>
      <c r="D254" s="7" t="inlineStr">
        <is>
          <t>Колтуши, Новосергиевский пр., 5Б</t>
        </is>
      </c>
      <c r="E254" s="15">
        <f>HYPERLINK("https://www.avito.ru/staraya/uslugi/priem_tsvetnogo_metalloloma_8023354125","8023354125")</f>
        <v/>
      </c>
    </row>
    <row r="255">
      <c r="A255" s="4" t="inlineStr"/>
      <c r="B255" s="6" t="inlineStr">
        <is>
          <t>Цветмет</t>
        </is>
      </c>
      <c r="C255" s="5">
        <f>HYPERLINK("https://www.avito.ru/syasstroy/uslugi/priem_tsvetnogo_metalloloma_8023362023","Прием цветного металлолома")</f>
        <v/>
      </c>
      <c r="D255" s="7" t="inlineStr">
        <is>
          <t>Сясьстрой, Петрозаводская ул., 34</t>
        </is>
      </c>
      <c r="E255" s="15">
        <f>HYPERLINK("https://www.avito.ru/syasstroy/uslugi/priem_tsvetnogo_metalloloma_8023362023","8023362023")</f>
        <v/>
      </c>
    </row>
    <row r="256">
      <c r="A256" s="4" t="inlineStr"/>
      <c r="B256" s="6" t="inlineStr">
        <is>
          <t>Цветмет</t>
        </is>
      </c>
      <c r="C256" s="5">
        <f>HYPERLINK("https://www.avito.ru/bugry/uslugi/priem_metalloloma_priem_tsvetnogo_loma_8023367574","Прием металлолома / Прием цветного лома")</f>
        <v/>
      </c>
      <c r="D256" s="7" t="inlineStr">
        <is>
          <t>Бугры, Шоссейная ул., 35Вк1</t>
        </is>
      </c>
      <c r="E256" s="15">
        <f>HYPERLINK("https://www.avito.ru/bugry/uslugi/priem_metalloloma_priem_tsvetnogo_loma_8023367574","8023367574")</f>
        <v/>
      </c>
    </row>
    <row r="257">
      <c r="A257" s="4" t="inlineStr"/>
      <c r="B257" s="6" t="inlineStr">
        <is>
          <t>Чермет</t>
        </is>
      </c>
      <c r="C257" s="5">
        <f>HYPERLINK("https://www.avito.ru/volosovo/uslugi/priem_metalloloma_priem_chernogo_loma_8023374737","Прием металлолома / Прием черного лома")</f>
        <v/>
      </c>
      <c r="D257" s="7" t="inlineStr">
        <is>
          <t>Волосово, ул. Восстания, 6</t>
        </is>
      </c>
      <c r="E257" s="15">
        <f>HYPERLINK("https://www.avito.ru/volosovo/uslugi/priem_metalloloma_priem_chernogo_loma_8023374737","8023374737")</f>
        <v/>
      </c>
    </row>
    <row r="258">
      <c r="A258" s="4" t="inlineStr"/>
      <c r="B258" s="6" t="inlineStr">
        <is>
          <t>Общее</t>
        </is>
      </c>
      <c r="C258" s="5">
        <f>HYPERLINK("https://www.avito.ru/vytegra/uslugi/priem_i_vyvoz_metalloloma_samovyvoz_loma_8023399423","Прием и вывоз металлолома / Самовывоз лома")</f>
        <v/>
      </c>
      <c r="D258" s="7" t="inlineStr">
        <is>
          <t>Вытегра, Вологодская ул., 1</t>
        </is>
      </c>
      <c r="E258" s="15">
        <f>HYPERLINK("https://www.avito.ru/vytegra/uslugi/priem_i_vyvoz_metalloloma_samovyvoz_loma_8023399423","8023399423")</f>
        <v/>
      </c>
    </row>
    <row r="259">
      <c r="A259" s="4" t="inlineStr"/>
      <c r="B259" s="6" t="inlineStr">
        <is>
          <t>Цветмет</t>
        </is>
      </c>
      <c r="C259" s="5">
        <f>HYPERLINK("https://www.avito.ru/leningradskaya_oblast_kommunar/uslugi/priem_metalloloma_priem_tsvetnogo_loma_8023404480","Прием металлолома / Прием цветного лома")</f>
        <v/>
      </c>
      <c r="D259" s="7" t="inlineStr">
        <is>
          <t>Коммунар, Железнодорожная ул., 6А</t>
        </is>
      </c>
      <c r="E259" s="15">
        <f>HYPERLINK("https://www.avito.ru/leningradskaya_oblast_kommunar/uslugi/priem_metalloloma_priem_tsvetnogo_loma_8023404480","8023404480")</f>
        <v/>
      </c>
    </row>
    <row r="260">
      <c r="A260" s="4" t="inlineStr"/>
      <c r="B260" s="6" t="inlineStr">
        <is>
          <t>Общее</t>
        </is>
      </c>
      <c r="C260" s="5">
        <f>HYPERLINK("https://www.avito.ru/novaya_ladoga/uslugi/priem_metalla_demontazh_priem_metalloloma_8023445835","Прием металла / Демонтаж / Прием металлолома")</f>
        <v/>
      </c>
      <c r="D260" s="7" t="inlineStr">
        <is>
          <t>Новая Ладога, ул. Суворова, 53</t>
        </is>
      </c>
      <c r="E260" s="15">
        <f>HYPERLINK("https://www.avito.ru/novaya_ladoga/uslugi/priem_metalla_demontazh_priem_metalloloma_8023445835","8023445835")</f>
        <v/>
      </c>
    </row>
    <row r="261">
      <c r="A261" s="4" t="inlineStr"/>
      <c r="B261" s="6" t="inlineStr">
        <is>
          <t>РЗМ</t>
        </is>
      </c>
      <c r="C261" s="5">
        <f>HYPERLINK("https://www.avito.ru/bugry/uslugi/priem_i_vyvoz_metalloloma_priem_redkih_metallov_8023448280","Прием и вывоз металлолома / Прием редких металлов")</f>
        <v/>
      </c>
      <c r="D261" s="7" t="inlineStr">
        <is>
          <t>Бугры, Шоссейная ул., 35Вк1</t>
        </is>
      </c>
      <c r="E261" s="15">
        <f>HYPERLINK("https://www.avito.ru/bugry/uslugi/priem_i_vyvoz_metalloloma_priem_redkih_metallov_8023448280","8023448280")</f>
        <v/>
      </c>
    </row>
    <row r="262">
      <c r="A262" s="4" t="inlineStr"/>
      <c r="B262" s="6" t="inlineStr">
        <is>
          <t>Чермет</t>
        </is>
      </c>
      <c r="C262" s="5">
        <f>HYPERLINK("https://www.avito.ru/kipen/uslugi/priem_metalloloma_priem_chernogo_loma_opt_8023449487","Прием металлолома / Прием черного лома опт")</f>
        <v/>
      </c>
      <c r="D262" s="7" t="inlineStr">
        <is>
          <t>д. Кипень, Ропшинское ш., 66</t>
        </is>
      </c>
      <c r="E262" s="15">
        <f>HYPERLINK("https://www.avito.ru/kipen/uslugi/priem_metalloloma_priem_chernogo_loma_opt_8023449487","8023449487")</f>
        <v/>
      </c>
    </row>
    <row r="263">
      <c r="A263" s="4" t="inlineStr"/>
      <c r="B263" s="6" t="inlineStr">
        <is>
          <t>Общее</t>
        </is>
      </c>
      <c r="C263" s="5">
        <f>HYPERLINK("https://www.avito.ru/sankt-peterburg/uslugi/priem_metalloloma_priem_loma_demontazh_8023455841","Прием металлолома / Прием лома / Демонтаж")</f>
        <v/>
      </c>
      <c r="D263" s="7" t="inlineStr">
        <is>
          <t>Санкт-Петербург, Бухарестская ул.</t>
        </is>
      </c>
      <c r="E263" s="15">
        <f>HYPERLINK("https://www.avito.ru/sankt-peterburg/uslugi/priem_metalloloma_priem_loma_demontazh_8023455841","8023455841")</f>
        <v/>
      </c>
    </row>
    <row r="264">
      <c r="A264" s="4" t="inlineStr"/>
      <c r="B264" s="6" t="inlineStr">
        <is>
          <t>Цветмет</t>
        </is>
      </c>
      <c r="C264" s="5">
        <f>HYPERLINK("https://www.avito.ru/krasnaya_dolina/uslugi/priem_tsvetnogo_metalloloma_8023479592","Прием цветного металлолома")</f>
        <v/>
      </c>
      <c r="D264" s="7" t="inlineStr">
        <is>
          <t>пос. Красная Долина, Центральное ш.</t>
        </is>
      </c>
      <c r="E264" s="15">
        <f>HYPERLINK("https://www.avito.ru/krasnaya_dolina/uslugi/priem_tsvetnogo_metalloloma_8023479592","8023479592")</f>
        <v/>
      </c>
    </row>
    <row r="265">
      <c r="A265" s="4" t="inlineStr"/>
      <c r="B265" s="6" t="inlineStr">
        <is>
          <t>Общее</t>
        </is>
      </c>
      <c r="C265" s="5">
        <f>HYPERLINK("https://www.avito.ru/sankt-peterburg/uslugi/priem_metalloloma_vyvoz_metalloloma_8023484841","Прием металлолома/ Вывоз металлолома")</f>
        <v/>
      </c>
      <c r="D265" s="7" t="inlineStr">
        <is>
          <t>Санкт-Петербург, пр-т Просвещения, 19</t>
        </is>
      </c>
      <c r="E265" s="15">
        <f>HYPERLINK("https://www.avito.ru/sankt-peterburg/uslugi/priem_metalloloma_vyvoz_metalloloma_8023484841","8023484841")</f>
        <v/>
      </c>
    </row>
    <row r="266">
      <c r="A266" s="4" t="inlineStr"/>
      <c r="B266" s="6" t="inlineStr">
        <is>
          <t>Чермет</t>
        </is>
      </c>
      <c r="C266" s="5">
        <f>HYPERLINK("https://www.avito.ru/leningradskaya_oblast_lebyazhe/uslugi/priem_metalloloma_priem_chernogo_loma_8023534145","Прием металлолома / Прием черного лома")</f>
        <v/>
      </c>
      <c r="D266" s="7" t="inlineStr">
        <is>
          <t>городской пос. Лебяжье, Строительная ул., 10</t>
        </is>
      </c>
      <c r="E266" s="15">
        <f>HYPERLINK("https://www.avito.ru/leningradskaya_oblast_lebyazhe/uslugi/priem_metalloloma_priem_chernogo_loma_8023534145","8023534145")</f>
        <v/>
      </c>
    </row>
    <row r="267">
      <c r="A267" s="4" t="inlineStr"/>
      <c r="B267" s="6" t="inlineStr">
        <is>
          <t>Общее</t>
        </is>
      </c>
      <c r="C267" s="5">
        <f>HYPERLINK("https://www.avito.ru/sankt-peterburg/uslugi/priem_metalla_demontazh_priem_metalloloma_8023554142","Прием металла / Демонтаж / Прием металлолома")</f>
        <v/>
      </c>
      <c r="D267" s="7" t="inlineStr">
        <is>
          <t>Санкт-Петербург, Бухарестская ул.</t>
        </is>
      </c>
      <c r="E267" s="15">
        <f>HYPERLINK("https://www.avito.ru/sankt-peterburg/uslugi/priem_metalla_demontazh_priem_metalloloma_8023554142","8023554142")</f>
        <v/>
      </c>
    </row>
    <row r="268">
      <c r="A268" s="4" t="inlineStr"/>
      <c r="B268" s="6" t="inlineStr">
        <is>
          <t>Общее</t>
        </is>
      </c>
      <c r="C268" s="5">
        <f>HYPERLINK("https://www.avito.ru/novoe_devyatkino/uslugi/priem_i_vyvoz_metalloloma_sdat_lom_8023554908","Прием и вывоз металлолома / Сдать лом")</f>
        <v/>
      </c>
      <c r="D268" s="7" t="inlineStr">
        <is>
          <t>д. Новое Девяткино, Главная ул., 48</t>
        </is>
      </c>
      <c r="E268" s="15">
        <f>HYPERLINK("https://www.avito.ru/novoe_devyatkino/uslugi/priem_i_vyvoz_metalloloma_sdat_lom_8023554908","8023554908")</f>
        <v/>
      </c>
    </row>
    <row r="269">
      <c r="A269" s="4" t="inlineStr"/>
      <c r="B269" s="6" t="inlineStr">
        <is>
          <t>Чермет</t>
        </is>
      </c>
      <c r="C269" s="5">
        <f>HYPERLINK("https://www.avito.ru/sankt-peterburg/uslugi/priem_metalloloma_priem_chernogo_loma_8023556548","Прием металлолома / Прием черного лома")</f>
        <v/>
      </c>
      <c r="D269" s="7" t="inlineStr">
        <is>
          <t>Санкт-Петербург, пр-т Науки, 19к1</t>
        </is>
      </c>
      <c r="E269" s="15">
        <f>HYPERLINK("https://www.avito.ru/sankt-peterburg/uslugi/priem_metalloloma_priem_chernogo_loma_8023556548","8023556548")</f>
        <v/>
      </c>
    </row>
    <row r="270">
      <c r="A270" s="4" t="inlineStr"/>
      <c r="B270" s="6" t="inlineStr">
        <is>
          <t>Общее</t>
        </is>
      </c>
      <c r="C270" s="5">
        <f>HYPERLINK("https://www.avito.ru/voloshovo/uslugi/priem_metalla_sdat_lom_vyvoz_loma_8023560257","Приём металла /Сдать лом / Вывоз лома")</f>
        <v/>
      </c>
      <c r="D270" s="7" t="inlineStr">
        <is>
          <t>пос. Волошово, Школьная ул.</t>
        </is>
      </c>
      <c r="E270" s="15">
        <f>HYPERLINK("https://www.avito.ru/voloshovo/uslugi/priem_metalla_sdat_lom_vyvoz_loma_8023560257","8023560257")</f>
        <v/>
      </c>
    </row>
    <row r="271">
      <c r="A271" s="4" t="inlineStr"/>
      <c r="B271" s="6" t="inlineStr">
        <is>
          <t>Цветмет</t>
        </is>
      </c>
      <c r="C271" s="5">
        <f>HYPERLINK("https://www.avito.ru/vysotsk/uslugi/priem_tsvetnogo_metalloloma_8023618945","Прием цветного металлолома")</f>
        <v/>
      </c>
      <c r="D271" s="7" t="inlineStr">
        <is>
          <t>Высоцк, Центральная ул.</t>
        </is>
      </c>
      <c r="E271" s="15">
        <f>HYPERLINK("https://www.avito.ru/vysotsk/uslugi/priem_tsvetnogo_metalloloma_8023618945","8023618945")</f>
        <v/>
      </c>
    </row>
    <row r="272">
      <c r="A272" s="4" t="inlineStr"/>
      <c r="B272" s="6" t="inlineStr">
        <is>
          <t>Общее</t>
        </is>
      </c>
      <c r="C272" s="5">
        <f>HYPERLINK("https://www.avito.ru/svetogorsk/uslugi/priem_metalloloma_skupka_metalla_8023622866","Прием металлолома / Скупка металла")</f>
        <v/>
      </c>
      <c r="D272" s="7" t="inlineStr">
        <is>
          <t>Светогорск</t>
        </is>
      </c>
      <c r="E272" s="15">
        <f>HYPERLINK("https://www.avito.ru/svetogorsk/uslugi/priem_metalloloma_skupka_metalla_8023622866","8023622866")</f>
        <v/>
      </c>
    </row>
    <row r="273">
      <c r="A273" s="4" t="inlineStr"/>
      <c r="B273" s="6" t="inlineStr">
        <is>
          <t>Чермет</t>
        </is>
      </c>
      <c r="C273" s="5">
        <f>HYPERLINK("https://www.avito.ru/leningradskaya_oblast_kirovsk/uslugi/priem_metalloloma_priem_chernogo_loma_opt_8023645741","Прием металлолома / Прием черного лома опт")</f>
        <v/>
      </c>
      <c r="D273" s="7" t="inlineStr">
        <is>
          <t>Кировск, Северная ул., 1В</t>
        </is>
      </c>
      <c r="E273" s="15">
        <f>HYPERLINK("https://www.avito.ru/leningradskaya_oblast_kirovsk/uslugi/priem_metalloloma_priem_chernogo_loma_opt_8023645741","8023645741")</f>
        <v/>
      </c>
    </row>
    <row r="274">
      <c r="A274" s="4" t="inlineStr"/>
      <c r="B274" s="6" t="inlineStr">
        <is>
          <t>Чермет</t>
        </is>
      </c>
      <c r="C274" s="5">
        <f>HYPERLINK("https://www.avito.ru/voloshovo/uslugi/priem_metalloloma_priem_chernogo_loma_opt_8023666843","Прием металлолома / Прием черного лома опт")</f>
        <v/>
      </c>
      <c r="D274" s="7" t="inlineStr">
        <is>
          <t>пос. Волошово, Школьная ул.</t>
        </is>
      </c>
      <c r="E274" s="15">
        <f>HYPERLINK("https://www.avito.ru/voloshovo/uslugi/priem_metalloloma_priem_chernogo_loma_opt_8023666843","8023666843")</f>
        <v/>
      </c>
    </row>
    <row r="275">
      <c r="A275" s="4" t="inlineStr"/>
      <c r="B275" s="6" t="inlineStr">
        <is>
          <t>Цветмет</t>
        </is>
      </c>
      <c r="C275" s="5">
        <f>HYPERLINK("https://www.avito.ru/svetogorsk/uslugi/priem_loma_tsvetnyh_metallov_8023702606","Прием лома цветных металлов")</f>
        <v/>
      </c>
      <c r="D275" s="7" t="inlineStr">
        <is>
          <t>Светогорск</t>
        </is>
      </c>
      <c r="E275" s="15">
        <f>HYPERLINK("https://www.avito.ru/svetogorsk/uslugi/priem_loma_tsvetnyh_metallov_8023702606","8023702606")</f>
        <v/>
      </c>
    </row>
    <row r="276">
      <c r="A276" s="4" t="inlineStr"/>
      <c r="B276" s="6" t="inlineStr">
        <is>
          <t>Чермет</t>
        </is>
      </c>
      <c r="C276" s="5">
        <f>HYPERLINK("https://www.avito.ru/leningradskaya_oblast_otradnoe/uslugi/priem_metalloloma_priem_chernogo_loma_8023750099","Прием металлолома / Прием черного лома")</f>
        <v/>
      </c>
      <c r="D276" s="7" t="inlineStr">
        <is>
          <t>Отрадное, Заводская ул., 1А</t>
        </is>
      </c>
      <c r="E276" s="15">
        <f>HYPERLINK("https://www.avito.ru/leningradskaya_oblast_otradnoe/uslugi/priem_metalloloma_priem_chernogo_loma_8023750099","8023750099")</f>
        <v/>
      </c>
    </row>
    <row r="277">
      <c r="A277" s="4" t="inlineStr"/>
      <c r="B277" s="6" t="inlineStr">
        <is>
          <t>Цветмет</t>
        </is>
      </c>
      <c r="C277" s="5">
        <f>HYPERLINK("https://www.avito.ru/kingisepp/uslugi/priem_metalloloma_priem_tsvetnogo_loma_8023761604","Прием металлолома / Прием цветного лома")</f>
        <v/>
      </c>
      <c r="D277" s="7" t="inlineStr">
        <is>
          <t>Кингисепп, ул. Дорожников, 35</t>
        </is>
      </c>
      <c r="E277" s="15">
        <f>HYPERLINK("https://www.avito.ru/kingisepp/uslugi/priem_metalloloma_priem_tsvetnogo_loma_8023761604","8023761604")</f>
        <v/>
      </c>
    </row>
    <row r="278">
      <c r="A278" s="4" t="inlineStr"/>
      <c r="B278" s="6" t="inlineStr">
        <is>
          <t>Общее</t>
        </is>
      </c>
      <c r="C278" s="5">
        <f>HYPERLINK("https://www.avito.ru/kudrovo/uslugi/priem_i_vyvoz_metalloloma_sdat_lom_8023802258","Прием и вывоз металлолома / Сдать лом")</f>
        <v/>
      </c>
      <c r="D278" s="7" t="inlineStr">
        <is>
          <t>Кудрово, мкр-н Южное Кудрово</t>
        </is>
      </c>
      <c r="E278" s="15">
        <f>HYPERLINK("https://www.avito.ru/kudrovo/uslugi/priem_i_vyvoz_metalloloma_sdat_lom_8023802258","8023802258")</f>
        <v/>
      </c>
    </row>
    <row r="279">
      <c r="A279" s="4" t="inlineStr"/>
      <c r="B279" s="6" t="inlineStr">
        <is>
          <t>Общее</t>
        </is>
      </c>
      <c r="C279" s="5">
        <f>HYPERLINK("https://www.avito.ru/leningradskaya_oblast_sosnovyy_bor/uslugi/priem_metalla_demontazh_priem_metalloloma_8023815469","Прием металла / Демонтаж / Прием металлолома")</f>
        <v/>
      </c>
      <c r="D279" s="7" t="inlineStr">
        <is>
          <t>Сосновый Бор, Ракопежское ш., 32</t>
        </is>
      </c>
      <c r="E279" s="15">
        <f>HYPERLINK("https://www.avito.ru/leningradskaya_oblast_sosnovyy_bor/uslugi/priem_metalla_demontazh_priem_metalloloma_8023815469","8023815469")</f>
        <v/>
      </c>
    </row>
    <row r="280">
      <c r="A280" s="4" t="inlineStr"/>
      <c r="B280" s="6" t="inlineStr">
        <is>
          <t>Цветмет</t>
        </is>
      </c>
      <c r="C280" s="5">
        <f>HYPERLINK("https://www.avito.ru/kirishi/uslugi/priem_loma_priem_tsvetnogo_loma_priem_chermeta_8023831799","Прием лома / Прием цветного лома / Прием чермета")</f>
        <v/>
      </c>
      <c r="D280" s="7" t="inlineStr">
        <is>
          <t>Кириши, ш. Энтузиастов, 6А</t>
        </is>
      </c>
      <c r="E280" s="15">
        <f>HYPERLINK("https://www.avito.ru/kirishi/uslugi/priem_loma_priem_tsvetnogo_loma_priem_chermeta_8023831799","8023831799")</f>
        <v/>
      </c>
    </row>
    <row r="281">
      <c r="A281" s="4" t="inlineStr"/>
      <c r="B281" s="6" t="inlineStr">
        <is>
          <t>Чермет</t>
        </is>
      </c>
      <c r="C281" s="5">
        <f>HYPERLINK("https://www.avito.ru/sertolovo/uslugi/priem_metalloloma_priem_chernogo_loma_opt_8023841626","Прием металлолома / Прием черного лома опт")</f>
        <v/>
      </c>
      <c r="D281" s="7" t="inlineStr">
        <is>
          <t>Сертолово, Песочная ул., 8к1</t>
        </is>
      </c>
      <c r="E281" s="15">
        <f>HYPERLINK("https://www.avito.ru/sertolovo/uslugi/priem_metalloloma_priem_chernogo_loma_opt_8023841626","8023841626")</f>
        <v/>
      </c>
    </row>
    <row r="282">
      <c r="A282" s="9" t="inlineStr"/>
      <c r="B282" s="11" t="inlineStr">
        <is>
          <t>Цветмет</t>
        </is>
      </c>
      <c r="C282" s="10">
        <f>HYPERLINK("https://www.avito.ru/shlisselburg/uslugi/priem_tsvetnogo_metalloloma_8023870042","Прием цветного металлолома")</f>
        <v/>
      </c>
      <c r="D282" s="12" t="inlineStr">
        <is>
          <t>Шлиссельбург, ул. Красный Тракт, 7А</t>
        </is>
      </c>
      <c r="E282" s="16">
        <f>HYPERLINK("https://www.avito.ru/shlisselburg/uslugi/priem_tsvetnogo_metalloloma_8023870042","8023870042")</f>
        <v/>
      </c>
    </row>
    <row r="283"/>
    <row r="284" ht="32" customHeight="1">
      <c r="A284" s="17" t="inlineStr">
        <is>
          <t>Тип</t>
        </is>
      </c>
      <c r="B284" s="18" t="inlineStr">
        <is>
          <t>Количество по полю Тип</t>
        </is>
      </c>
      <c r="F284" t="inlineStr">
        <is>
          <t>Тип</t>
        </is>
      </c>
      <c r="G284" t="inlineStr">
        <is>
          <t>Количество по полю Тип</t>
        </is>
      </c>
    </row>
    <row r="285">
      <c r="A285" s="19" t="inlineStr">
        <is>
          <t>АКБ</t>
        </is>
      </c>
      <c r="B285" s="20" t="n">
        <v>2</v>
      </c>
      <c r="F285" t="inlineStr">
        <is>
          <t>АКБ</t>
        </is>
      </c>
      <c r="G285" t="n">
        <v>2</v>
      </c>
    </row>
    <row r="286">
      <c r="A286" s="19" t="inlineStr">
        <is>
          <t>Общее</t>
        </is>
      </c>
      <c r="B286" s="20" t="n">
        <v>109</v>
      </c>
      <c r="F286" t="inlineStr">
        <is>
          <t>Общее</t>
        </is>
      </c>
      <c r="G286" t="n">
        <v>109</v>
      </c>
    </row>
    <row r="287">
      <c r="A287" s="19" t="inlineStr">
        <is>
          <t>Чермет</t>
        </is>
      </c>
      <c r="B287" s="20" t="n">
        <v>74</v>
      </c>
      <c r="F287" t="inlineStr">
        <is>
          <t>Чермет</t>
        </is>
      </c>
      <c r="G287" t="n">
        <v>74</v>
      </c>
    </row>
    <row r="288">
      <c r="A288" s="19" t="inlineStr">
        <is>
          <t>Цветмет</t>
        </is>
      </c>
      <c r="B288" s="20" t="n">
        <v>84</v>
      </c>
      <c r="F288" t="inlineStr">
        <is>
          <t>Цветмет</t>
        </is>
      </c>
      <c r="G288" t="n">
        <v>84</v>
      </c>
    </row>
    <row r="289">
      <c r="A289" s="19" t="inlineStr">
        <is>
          <t>Кабель</t>
        </is>
      </c>
      <c r="B289" s="20" t="n">
        <v>1</v>
      </c>
      <c r="F289" t="inlineStr">
        <is>
          <t>Кабель</t>
        </is>
      </c>
      <c r="G289" t="n">
        <v>1</v>
      </c>
    </row>
    <row r="290">
      <c r="A290" s="19" t="inlineStr">
        <is>
          <t>Эл.лом</t>
        </is>
      </c>
      <c r="B290" s="20" t="n">
        <v>0</v>
      </c>
      <c r="F290" t="inlineStr">
        <is>
          <t>РЗМ</t>
        </is>
      </c>
      <c r="G290" t="n">
        <v>11</v>
      </c>
    </row>
    <row r="291">
      <c r="A291" s="19" t="inlineStr">
        <is>
          <t>РЗМ</t>
        </is>
      </c>
      <c r="B291" s="20" t="n">
        <v>11</v>
      </c>
    </row>
    <row r="292">
      <c r="A292" s="19" t="inlineStr">
        <is>
          <t>Нержавейка</t>
        </is>
      </c>
      <c r="B292" s="20" t="n">
        <v>0</v>
      </c>
    </row>
    <row r="293">
      <c r="A293" s="19" t="inlineStr">
        <is>
          <t>Медь</t>
        </is>
      </c>
      <c r="B293" s="20" t="n">
        <v>0</v>
      </c>
    </row>
    <row r="294">
      <c r="A294" s="19" t="inlineStr">
        <is>
          <t>Алюминий</t>
        </is>
      </c>
      <c r="B294" s="20" t="n">
        <v>0</v>
      </c>
    </row>
    <row r="295">
      <c r="A295" s="21" t="inlineStr">
        <is>
          <t>Другое</t>
        </is>
      </c>
      <c r="B295" s="22" t="n">
        <v>0</v>
      </c>
    </row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 ht="32" customHeight="1">
      <c r="A315" s="17" t="inlineStr">
        <is>
          <t>Тип</t>
        </is>
      </c>
      <c r="B315" s="18" t="inlineStr">
        <is>
          <t>Расходы по объявлениям</t>
        </is>
      </c>
    </row>
    <row r="316">
      <c r="A316" s="19" t="inlineStr">
        <is>
          <t>Общее</t>
        </is>
      </c>
      <c r="B316" s="20" t="n">
        <v>65324.72</v>
      </c>
    </row>
    <row r="317">
      <c r="A317" s="19" t="inlineStr">
        <is>
          <t>Цветмет</t>
        </is>
      </c>
      <c r="B317" s="20" t="n">
        <v>23424.9</v>
      </c>
    </row>
    <row r="318">
      <c r="A318" s="19" t="inlineStr">
        <is>
          <t>Чермет</t>
        </is>
      </c>
      <c r="B318" s="20" t="n">
        <v>14074.3</v>
      </c>
    </row>
    <row r="319">
      <c r="A319" s="19" t="inlineStr">
        <is>
          <t>АКБ</t>
        </is>
      </c>
      <c r="B319" s="20" t="n">
        <v>8027.4</v>
      </c>
    </row>
    <row r="320">
      <c r="A320" s="19" t="inlineStr">
        <is>
          <t>РЗМ</t>
        </is>
      </c>
      <c r="B320" s="20" t="n">
        <v>5388.38</v>
      </c>
    </row>
    <row r="321">
      <c r="A321" s="19" t="inlineStr">
        <is>
          <t>Кабель</t>
        </is>
      </c>
      <c r="B321" s="20" t="n">
        <v>2763.2</v>
      </c>
    </row>
    <row r="322">
      <c r="A322" s="19" t="inlineStr">
        <is>
          <t>Эл.лом</t>
        </is>
      </c>
      <c r="B322" s="20" t="n">
        <v>0</v>
      </c>
    </row>
    <row r="323">
      <c r="A323" s="19" t="inlineStr">
        <is>
          <t>Нержавейка</t>
        </is>
      </c>
      <c r="B323" s="20" t="n">
        <v>0</v>
      </c>
    </row>
    <row r="324">
      <c r="A324" s="19" t="inlineStr">
        <is>
          <t>Медь</t>
        </is>
      </c>
      <c r="B324" s="20" t="n">
        <v>0</v>
      </c>
    </row>
    <row r="325">
      <c r="A325" s="19" t="inlineStr">
        <is>
          <t>Алюминий</t>
        </is>
      </c>
      <c r="B325" s="20" t="n">
        <v>0</v>
      </c>
    </row>
    <row r="326">
      <c r="A326" s="21" t="inlineStr">
        <is>
          <t>Другое</t>
        </is>
      </c>
      <c r="B326" s="22" t="n">
        <v>0</v>
      </c>
    </row>
    <row r="327"/>
  </sheetData>
  <autoFilter ref="A1:E282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.44" customWidth="1" min="2" max="2"/>
    <col width="12.89" customWidth="1" min="3" max="3"/>
    <col width="18.44" customWidth="1" min="4" max="4"/>
    <col width="13.55" customWidth="1" min="5" max="5"/>
    <col width="14.66" customWidth="1" min="6" max="6"/>
    <col width="16.89" customWidth="1" min="7" max="7"/>
    <col width="16.55" customWidth="1" min="8" max="8"/>
    <col width="15.66" customWidth="1" min="9" max="9"/>
    <col width="17.66" customWidth="1" min="10" max="10"/>
    <col width="18.44" customWidth="1" min="11" max="11"/>
  </cols>
  <sheetData>
    <row r="1">
      <c r="A1" s="1" t="inlineStr">
        <is>
          <t>Категория</t>
        </is>
      </c>
      <c r="B1" s="2" t="inlineStr">
        <is>
          <t>Адрес</t>
        </is>
      </c>
      <c r="C1" s="2" t="inlineStr">
        <is>
          <t>Номер объявления</t>
        </is>
      </c>
      <c r="D1" s="2" t="inlineStr">
        <is>
          <t>Тип</t>
        </is>
      </c>
      <c r="E1" s="2" t="inlineStr">
        <is>
          <t>Просмотры</t>
        </is>
      </c>
      <c r="F1" s="2" t="inlineStr">
        <is>
          <t>Контакты</t>
        </is>
      </c>
      <c r="G1" s="2" t="inlineStr">
        <is>
          <t>Конверсия из просмотров в контакты</t>
        </is>
      </c>
      <c r="H1" s="2" t="inlineStr">
        <is>
          <t>Написали в чат</t>
        </is>
      </c>
      <c r="I1" s="2" t="inlineStr">
        <is>
          <t>Посмотрели телефон</t>
        </is>
      </c>
      <c r="J1" s="2" t="inlineStr">
        <is>
          <t>Средняя цена контакта</t>
        </is>
      </c>
      <c r="K1" s="3" t="inlineStr">
        <is>
          <t>Расходы на объявления</t>
        </is>
      </c>
    </row>
    <row r="2">
      <c r="A2" s="23" t="inlineStr">
        <is>
          <t>Услуги</t>
        </is>
      </c>
      <c r="B2" s="7" t="inlineStr">
        <is>
          <t>Великие Луки, Псковская ул., 1</t>
        </is>
      </c>
      <c r="C2" s="24">
        <f>HYPERLINK("https://www.avito.ru/velikie_luki/uslugi/priem_metalloloma_priem_chernogo_loma_8023244289","8023244289")</f>
        <v/>
      </c>
      <c r="D2" s="24" t="inlineStr">
        <is>
          <t>Чермет</t>
        </is>
      </c>
      <c r="E2" s="25" t="n">
        <v>868</v>
      </c>
      <c r="F2" s="25" t="n">
        <v>18</v>
      </c>
      <c r="G2" s="26" t="n">
        <v>0.0207</v>
      </c>
      <c r="H2" s="24" t="n">
        <v>4</v>
      </c>
      <c r="I2" s="24" t="n">
        <v>14</v>
      </c>
      <c r="J2" s="27" t="n">
        <v>231.48</v>
      </c>
      <c r="K2" s="28" t="n">
        <v>4166.7</v>
      </c>
    </row>
    <row r="3">
      <c r="A3" s="23" t="inlineStr">
        <is>
          <t>Услуги</t>
        </is>
      </c>
      <c r="B3" s="7" t="inlineStr">
        <is>
          <t>Великие Луки, Псковская ул., 1</t>
        </is>
      </c>
      <c r="C3" s="24">
        <f>HYPERLINK("https://www.avito.ru/velikie_luki/uslugi/priem_loma_tsvetnyh_metallov_8023438563","8023438563")</f>
        <v/>
      </c>
      <c r="D3" s="24" t="inlineStr">
        <is>
          <t>Цветмет</t>
        </is>
      </c>
      <c r="E3" s="25" t="n">
        <v>383</v>
      </c>
      <c r="F3" s="25" t="n">
        <v>3</v>
      </c>
      <c r="G3" s="26" t="n">
        <v>0.0078</v>
      </c>
      <c r="H3" s="24" t="n">
        <v>2</v>
      </c>
      <c r="I3" s="24" t="n">
        <v>1</v>
      </c>
      <c r="J3" s="27" t="n">
        <v>601.8</v>
      </c>
      <c r="K3" s="28" t="n">
        <v>1805.4</v>
      </c>
    </row>
    <row r="4">
      <c r="A4" s="23" t="inlineStr">
        <is>
          <t>Услуги</t>
        </is>
      </c>
      <c r="B4" s="7" t="inlineStr">
        <is>
          <t>Великий Устюг, Советский пр-т, 3</t>
        </is>
      </c>
      <c r="C4" s="24">
        <f>HYPERLINK("https://www.avito.ru/velikiy_ustyug/uslugi/priem_metalloloma_priem_chernogo_loma_8023813595","8023813595")</f>
        <v/>
      </c>
      <c r="D4" s="24" t="inlineStr">
        <is>
          <t>Чермет</t>
        </is>
      </c>
      <c r="E4" s="25" t="n">
        <v>349</v>
      </c>
      <c r="F4" s="25" t="n">
        <v>7</v>
      </c>
      <c r="G4" s="26" t="n">
        <v>0.02</v>
      </c>
      <c r="H4" s="24" t="n">
        <v>3</v>
      </c>
      <c r="I4" s="24" t="n">
        <v>3</v>
      </c>
      <c r="J4" s="27" t="n">
        <v>236.78</v>
      </c>
      <c r="K4" s="28" t="n">
        <v>1657.5</v>
      </c>
    </row>
    <row r="5">
      <c r="A5" s="23" t="inlineStr">
        <is>
          <t>Услуги</t>
        </is>
      </c>
      <c r="B5" s="7" t="inlineStr">
        <is>
          <t>Вологда, ул. Чернышевского, 141А</t>
        </is>
      </c>
      <c r="C5" s="24">
        <f>HYPERLINK("https://www.avito.ru/vologda/uslugi/priem_metalloloma_priem_chernogo_loma_opt_8023342779","8023342779")</f>
        <v/>
      </c>
      <c r="D5" s="24" t="inlineStr">
        <is>
          <t>Чермет</t>
        </is>
      </c>
      <c r="E5" s="25" t="n">
        <v>162</v>
      </c>
      <c r="F5" s="25" t="n">
        <v>4</v>
      </c>
      <c r="G5" s="26" t="n">
        <v>0.0246</v>
      </c>
      <c r="H5" s="24" t="n">
        <v>2</v>
      </c>
      <c r="I5" s="24" t="n">
        <v>2</v>
      </c>
      <c r="J5" s="27" t="n">
        <v>192.52</v>
      </c>
      <c r="K5" s="28" t="n">
        <v>770.1</v>
      </c>
    </row>
    <row r="6">
      <c r="A6" s="23" t="inlineStr">
        <is>
          <t>Услуги</t>
        </is>
      </c>
      <c r="B6" s="7" t="inlineStr">
        <is>
          <t>Великий Устюг, Советский пр-т, 3</t>
        </is>
      </c>
      <c r="C6" s="24">
        <f>HYPERLINK("https://www.avito.ru/velikiy_ustyug/uslugi/priem_metalloloma_priem_tsvetnogo_loma_8023358866","8023358866")</f>
        <v/>
      </c>
      <c r="D6" s="24" t="inlineStr">
        <is>
          <t>Цветмет</t>
        </is>
      </c>
      <c r="E6" s="25" t="n">
        <v>159</v>
      </c>
      <c r="F6" s="25" t="n">
        <v>2</v>
      </c>
      <c r="G6" s="26" t="n">
        <v>0.0125</v>
      </c>
      <c r="H6" s="24" t="n">
        <v>1</v>
      </c>
      <c r="I6" s="24" t="n">
        <v>1</v>
      </c>
      <c r="J6" s="27" t="n">
        <v>385.05</v>
      </c>
      <c r="K6" s="28" t="n">
        <v>770.1</v>
      </c>
    </row>
    <row r="7">
      <c r="A7" s="23" t="inlineStr">
        <is>
          <t>Услуги</t>
        </is>
      </c>
      <c r="B7" s="7" t="inlineStr">
        <is>
          <t>Старая Русса, ул. Кириллова</t>
        </is>
      </c>
      <c r="C7" s="24">
        <f>HYPERLINK("https://www.avito.ru/staraya_russa/uslugi/priem_metalloloma_priem_chernogo_loma_opt_8023217367","8023217367")</f>
        <v/>
      </c>
      <c r="D7" s="24" t="inlineStr">
        <is>
          <t>Чермет</t>
        </is>
      </c>
      <c r="E7" s="25" t="n">
        <v>152</v>
      </c>
      <c r="F7" s="25" t="n">
        <v>3</v>
      </c>
      <c r="G7" s="26" t="n">
        <v>0.0197</v>
      </c>
      <c r="H7" s="24" t="n">
        <v>2</v>
      </c>
      <c r="I7" s="24" t="n">
        <v>1</v>
      </c>
      <c r="J7" s="27" t="n">
        <v>229.5</v>
      </c>
      <c r="K7" s="28" t="n">
        <v>688.5</v>
      </c>
    </row>
    <row r="8">
      <c r="A8" s="23" t="inlineStr">
        <is>
          <t>Услуги</t>
        </is>
      </c>
      <c r="B8" s="7" t="inlineStr">
        <is>
          <t>Петрозаводск, Прибрежный пер., 1</t>
        </is>
      </c>
      <c r="C8" s="24">
        <f>HYPERLINK("https://www.avito.ru/petrozavodsk/uslugi/priem_metalloloma_priem_chernogo_loma_opt_8023699523","8023699523")</f>
        <v/>
      </c>
      <c r="D8" s="24" t="inlineStr">
        <is>
          <t>Чермет</t>
        </is>
      </c>
      <c r="E8" s="25" t="n">
        <v>142</v>
      </c>
      <c r="F8" s="25" t="n">
        <v>2</v>
      </c>
      <c r="G8" s="26" t="n">
        <v>0.014</v>
      </c>
      <c r="H8" s="24" t="n">
        <v>1</v>
      </c>
      <c r="I8" s="24" t="n">
        <v>1</v>
      </c>
      <c r="J8" s="27" t="n">
        <v>339.15</v>
      </c>
      <c r="K8" s="28" t="n">
        <v>678.3</v>
      </c>
    </row>
    <row r="9">
      <c r="A9" s="23" t="inlineStr">
        <is>
          <t>Услуги</t>
        </is>
      </c>
      <c r="B9" s="7" t="inlineStr">
        <is>
          <t>Санкт-Петербург, пр-т Стачек, 70</t>
        </is>
      </c>
      <c r="C9" s="24">
        <f>HYPERLINK("https://www.avito.ru/sankt-peterburg/uslugi/priem_i_vyvoz_metalla_priem_loma_7543519387","7543519387")</f>
        <v/>
      </c>
      <c r="D9" s="24" t="inlineStr">
        <is>
          <t>Общее</t>
        </is>
      </c>
      <c r="E9" s="25" t="n">
        <v>138</v>
      </c>
      <c r="F9" s="25" t="n">
        <v>12</v>
      </c>
      <c r="G9" s="26" t="n">
        <v>0.08690000000000001</v>
      </c>
      <c r="H9" s="24" t="n">
        <v>6</v>
      </c>
      <c r="I9" s="24" t="n">
        <v>5</v>
      </c>
      <c r="J9" s="27" t="n">
        <v>1816.81</v>
      </c>
      <c r="K9" s="28" t="n">
        <v>21801.8</v>
      </c>
    </row>
    <row r="10">
      <c r="A10" s="23" t="inlineStr">
        <is>
          <t>Услуги</t>
        </is>
      </c>
      <c r="B10" s="7" t="inlineStr">
        <is>
          <t>Остров, ул. Карла Маркса, 90Б</t>
        </is>
      </c>
      <c r="C10" s="24">
        <f>HYPERLINK("https://www.avito.ru/ostrov/uslugi/priem_tsvetnogo_metalloloma_8023060857","8023060857")</f>
        <v/>
      </c>
      <c r="D10" s="24" t="inlineStr">
        <is>
          <t>Цветмет</t>
        </is>
      </c>
      <c r="E10" s="25" t="n">
        <v>121</v>
      </c>
      <c r="F10" s="25" t="n">
        <v>1</v>
      </c>
      <c r="G10" s="26" t="n">
        <v>0.008200000000000001</v>
      </c>
      <c r="H10" s="24" t="n">
        <v>0</v>
      </c>
      <c r="I10" s="24" t="n">
        <v>1</v>
      </c>
      <c r="J10" s="27" t="n">
        <v>561</v>
      </c>
      <c r="K10" s="28" t="n">
        <v>561</v>
      </c>
    </row>
    <row r="11">
      <c r="A11" s="23" t="inlineStr">
        <is>
          <t>Услуги</t>
        </is>
      </c>
      <c r="B11" s="7" t="inlineStr">
        <is>
          <t>Валдай, Новгородская ул., 3</t>
        </is>
      </c>
      <c r="C11" s="24">
        <f>HYPERLINK("https://www.avito.ru/valday/uslugi/priem_loma_tsvetnyh_metallov_8023592145","8023592145")</f>
        <v/>
      </c>
      <c r="D11" s="24" t="inlineStr">
        <is>
          <t>Цветмет</t>
        </is>
      </c>
      <c r="E11" s="25" t="n">
        <v>99</v>
      </c>
      <c r="F11" s="25" t="n">
        <v>2</v>
      </c>
      <c r="G11" s="26" t="n">
        <v>0.0202</v>
      </c>
      <c r="H11" s="24" t="n">
        <v>1</v>
      </c>
      <c r="I11" s="24" t="n">
        <v>1</v>
      </c>
      <c r="J11" s="27" t="n">
        <v>239.7</v>
      </c>
      <c r="K11" s="28" t="n">
        <v>479.4</v>
      </c>
    </row>
    <row r="12">
      <c r="A12" s="23" t="inlineStr">
        <is>
          <t>Услуги</t>
        </is>
      </c>
      <c r="B12" s="7" t="inlineStr">
        <is>
          <t>Санкт-Петербург, Московская пл.</t>
        </is>
      </c>
      <c r="C12" s="24">
        <f>HYPERLINK("https://www.avito.ru/sankt-peterburg/uslugi/priem_akkumulyatorov_ot_avto_7671561715","7671561715")</f>
        <v/>
      </c>
      <c r="D12" s="24" t="inlineStr">
        <is>
          <t>АКБ</t>
        </is>
      </c>
      <c r="E12" s="25" t="n">
        <v>93</v>
      </c>
      <c r="F12" s="25" t="n">
        <v>7</v>
      </c>
      <c r="G12" s="26" t="n">
        <v>0.0752</v>
      </c>
      <c r="H12" s="24" t="n">
        <v>3</v>
      </c>
      <c r="I12" s="24" t="n">
        <v>4</v>
      </c>
      <c r="J12" s="27" t="n">
        <v>858.05</v>
      </c>
      <c r="K12" s="28" t="n">
        <v>6006.4</v>
      </c>
    </row>
    <row r="13">
      <c r="A13" s="23" t="inlineStr">
        <is>
          <t>Услуги</t>
        </is>
      </c>
      <c r="B13" s="7" t="inlineStr">
        <is>
          <t>Боровичи, Новгородская ул., 1</t>
        </is>
      </c>
      <c r="C13" s="24">
        <f>HYPERLINK("https://www.avito.ru/borovichi/uslugi/priem_loma_tsvetnyh_metallov_8023351436","8023351436")</f>
        <v/>
      </c>
      <c r="D13" s="24" t="inlineStr">
        <is>
          <t>Цветмет</t>
        </is>
      </c>
      <c r="E13" s="25" t="n">
        <v>93</v>
      </c>
      <c r="F13" s="25" t="n">
        <v>1</v>
      </c>
      <c r="G13" s="26" t="n">
        <v>0.0107</v>
      </c>
      <c r="H13" s="24" t="n">
        <v>1</v>
      </c>
      <c r="I13" s="24" t="n">
        <v>0</v>
      </c>
      <c r="J13" s="27" t="n">
        <v>448.8</v>
      </c>
      <c r="K13" s="28" t="n">
        <v>448.8</v>
      </c>
    </row>
    <row r="14">
      <c r="A14" s="23" t="inlineStr">
        <is>
          <t>Услуги</t>
        </is>
      </c>
      <c r="B14" s="7" t="inlineStr">
        <is>
          <t>Валдай, Новгородская ул., 3</t>
        </is>
      </c>
      <c r="C14" s="24">
        <f>HYPERLINK("https://www.avito.ru/valday/uslugi/priem_metalloloma_priem_chernogo_loma_8023680622","8023680622")</f>
        <v/>
      </c>
      <c r="D14" s="24" t="inlineStr">
        <is>
          <t>Чермет</t>
        </is>
      </c>
      <c r="E14" s="25" t="n">
        <v>93</v>
      </c>
      <c r="F14" s="25" t="n">
        <v>1</v>
      </c>
      <c r="G14" s="26" t="n">
        <v>0.0107</v>
      </c>
      <c r="H14" s="24" t="n">
        <v>0</v>
      </c>
      <c r="I14" s="24" t="n">
        <v>1</v>
      </c>
      <c r="J14" s="27" t="n">
        <v>448.8</v>
      </c>
      <c r="K14" s="28" t="n">
        <v>448.8</v>
      </c>
    </row>
    <row r="15">
      <c r="A15" s="23" t="inlineStr">
        <is>
          <t>Услуги</t>
        </is>
      </c>
      <c r="B15" s="7" t="inlineStr">
        <is>
          <t>Луга, Старорусская ул., 13Г</t>
        </is>
      </c>
      <c r="C15" s="24">
        <f>HYPERLINK("https://www.avito.ru/luga/uslugi/priem_tsvetnogo_metalloloma_8023863256","8023863256")</f>
        <v/>
      </c>
      <c r="D15" s="24" t="inlineStr">
        <is>
          <t>Цветмет</t>
        </is>
      </c>
      <c r="E15" s="25" t="n">
        <v>88</v>
      </c>
      <c r="F15" s="25" t="n">
        <v>2</v>
      </c>
      <c r="G15" s="26" t="n">
        <v>0.0227</v>
      </c>
      <c r="H15" s="24" t="n">
        <v>1</v>
      </c>
      <c r="I15" s="24" t="n">
        <v>1</v>
      </c>
      <c r="J15" s="27" t="n">
        <v>766.7</v>
      </c>
      <c r="K15" s="28" t="n">
        <v>1533.4</v>
      </c>
    </row>
    <row r="16">
      <c r="A16" s="23" t="inlineStr">
        <is>
          <t>Услуги</t>
        </is>
      </c>
      <c r="B16" s="7" t="inlineStr">
        <is>
          <t>Псков, Инженерная ул., 7</t>
        </is>
      </c>
      <c r="C16" s="24">
        <f>HYPERLINK("https://www.avito.ru/pskov/uslugi/priem_metalloloma_priem_tsvetnogo_loma_8023621404","8023621404")</f>
        <v/>
      </c>
      <c r="D16" s="24" t="inlineStr">
        <is>
          <t>Цветмет</t>
        </is>
      </c>
      <c r="E16" s="25" t="n">
        <v>81</v>
      </c>
      <c r="F16" s="25" t="n">
        <v>6</v>
      </c>
      <c r="G16" s="26" t="n">
        <v>0.074</v>
      </c>
      <c r="H16" s="24" t="n">
        <v>4</v>
      </c>
      <c r="I16" s="24" t="n">
        <v>2</v>
      </c>
      <c r="J16" s="27" t="n">
        <v>63.75</v>
      </c>
      <c r="K16" s="28" t="n">
        <v>382.5</v>
      </c>
    </row>
    <row r="17">
      <c r="A17" s="23" t="inlineStr">
        <is>
          <t>Услуги</t>
        </is>
      </c>
      <c r="B17" s="7" t="inlineStr">
        <is>
          <t>Старая Русса, ул. Кириллова</t>
        </is>
      </c>
      <c r="C17" s="24">
        <f>HYPERLINK("https://www.avito.ru/staraya_russa/uslugi/priem_tsvetnogo_metalloloma_8023280796","8023280796")</f>
        <v/>
      </c>
      <c r="D17" s="24" t="inlineStr">
        <is>
          <t>Цветмет</t>
        </is>
      </c>
      <c r="E17" s="25" t="n">
        <v>79</v>
      </c>
      <c r="F17" s="25" t="n">
        <v>0</v>
      </c>
      <c r="G17" s="26" t="n">
        <v>0</v>
      </c>
      <c r="H17" s="24" t="n">
        <v>0</v>
      </c>
      <c r="I17" s="24" t="n">
        <v>0</v>
      </c>
      <c r="J17" s="27" t="n">
        <v>0</v>
      </c>
      <c r="K17" s="28" t="n">
        <v>387.6</v>
      </c>
    </row>
    <row r="18">
      <c r="A18" s="23" t="inlineStr">
        <is>
          <t>Услуги</t>
        </is>
      </c>
      <c r="B18" s="7" t="inlineStr">
        <is>
          <t>Луга, Старорусская ул., 13Г</t>
        </is>
      </c>
      <c r="C18" s="24">
        <f>HYPERLINK("https://www.avito.ru/luga/uslugi/priem_metalloloma_priem_chernogo_loma_opt_8023431202","8023431202")</f>
        <v/>
      </c>
      <c r="D18" s="24" t="inlineStr">
        <is>
          <t>Чермет</t>
        </is>
      </c>
      <c r="E18" s="25" t="n">
        <v>75</v>
      </c>
      <c r="F18" s="25" t="n">
        <v>0</v>
      </c>
      <c r="G18" s="26" t="n">
        <v>0</v>
      </c>
      <c r="H18" s="24" t="n">
        <v>0</v>
      </c>
      <c r="I18" s="24" t="n">
        <v>0</v>
      </c>
      <c r="J18" s="27" t="n">
        <v>0</v>
      </c>
      <c r="K18" s="28" t="n">
        <v>1309</v>
      </c>
    </row>
    <row r="19">
      <c r="A19" s="23" t="inlineStr">
        <is>
          <t>Услуги</t>
        </is>
      </c>
      <c r="B19" s="7" t="inlineStr">
        <is>
          <t>Великие Луки, Псковская ул., 1</t>
        </is>
      </c>
      <c r="C19" s="24">
        <f>HYPERLINK("https://www.avito.ru/velikie_luki/uslugi/priem_metalloloma_priem_loma_demontazh_8023603190","8023603190")</f>
        <v/>
      </c>
      <c r="D19" s="24" t="inlineStr">
        <is>
          <t>Общее</t>
        </is>
      </c>
      <c r="E19" s="25" t="n">
        <v>75</v>
      </c>
      <c r="F19" s="25" t="n">
        <v>3</v>
      </c>
      <c r="G19" s="26" t="n">
        <v>0.04</v>
      </c>
      <c r="H19" s="24" t="n">
        <v>2</v>
      </c>
      <c r="I19" s="24" t="n">
        <v>1</v>
      </c>
      <c r="J19" s="27" t="n">
        <v>122.4</v>
      </c>
      <c r="K19" s="28" t="n">
        <v>367.2</v>
      </c>
    </row>
    <row r="20">
      <c r="A20" s="23" t="inlineStr">
        <is>
          <t>Услуги</t>
        </is>
      </c>
      <c r="B20" s="7" t="inlineStr">
        <is>
          <t>Санкт-Петербург, пл. Стачек</t>
        </is>
      </c>
      <c r="C20" s="24">
        <f>HYPERLINK("https://www.avito.ru/sankt-peterburg/uslugi/priem_tsvetnogo_metalla_skupka_tsvetnogo_metalla_7703868215","7703868215")</f>
        <v/>
      </c>
      <c r="D20" s="24" t="inlineStr">
        <is>
          <t>Цветмет</t>
        </is>
      </c>
      <c r="E20" s="25" t="n">
        <v>66</v>
      </c>
      <c r="F20" s="25" t="n">
        <v>6</v>
      </c>
      <c r="G20" s="26" t="n">
        <v>0.09089999999999999</v>
      </c>
      <c r="H20" s="24" t="n">
        <v>4</v>
      </c>
      <c r="I20" s="24" t="n">
        <v>2</v>
      </c>
      <c r="J20" s="27" t="n">
        <v>1077.93</v>
      </c>
      <c r="K20" s="28" t="n">
        <v>6467.6</v>
      </c>
    </row>
    <row r="21">
      <c r="A21" s="23" t="inlineStr">
        <is>
          <t>Услуги</t>
        </is>
      </c>
      <c r="B21" s="7" t="inlineStr">
        <is>
          <t>Грязовец, ул. Волкова, 11/2</t>
        </is>
      </c>
      <c r="C21" s="24">
        <f>HYPERLINK("https://www.avito.ru/gryazovets/uslugi/priem_metalloloma_priem_chernogo_loma_opt_8023702295","8023702295")</f>
        <v/>
      </c>
      <c r="D21" s="24" t="inlineStr">
        <is>
          <t>Чермет</t>
        </is>
      </c>
      <c r="E21" s="25" t="n">
        <v>62</v>
      </c>
      <c r="F21" s="25" t="n">
        <v>1</v>
      </c>
      <c r="G21" s="26" t="n">
        <v>0.0161</v>
      </c>
      <c r="H21" s="24" t="n">
        <v>0</v>
      </c>
      <c r="I21" s="24" t="n">
        <v>1</v>
      </c>
      <c r="J21" s="27" t="n">
        <v>300.9</v>
      </c>
      <c r="K21" s="28" t="n">
        <v>300.9</v>
      </c>
    </row>
    <row r="22">
      <c r="A22" s="23" t="inlineStr">
        <is>
          <t>Услуги</t>
        </is>
      </c>
      <c r="B22" s="7" t="inlineStr">
        <is>
          <t>Санкт-Петербург, пр-т Просвещения, 19</t>
        </is>
      </c>
      <c r="C22" s="24">
        <f>HYPERLINK("https://www.avito.ru/sankt-peterburg/uslugi/priem_i_vyvoz_metalloloma_sdat_lom_8023060349","8023060349")</f>
        <v/>
      </c>
      <c r="D22" s="24" t="inlineStr">
        <is>
          <t>Общее</t>
        </is>
      </c>
      <c r="E22" s="25" t="n">
        <v>61</v>
      </c>
      <c r="F22" s="25" t="n">
        <v>15</v>
      </c>
      <c r="G22" s="26" t="n">
        <v>0.2459</v>
      </c>
      <c r="H22" s="24" t="n">
        <v>6</v>
      </c>
      <c r="I22" s="24" t="n">
        <v>9</v>
      </c>
      <c r="J22" s="27" t="n">
        <v>514.04</v>
      </c>
      <c r="K22" s="28" t="n">
        <v>7710.6</v>
      </c>
    </row>
    <row r="23">
      <c r="A23" s="23" t="inlineStr">
        <is>
          <t>Услуги</t>
        </is>
      </c>
      <c r="B23" s="7" t="inlineStr">
        <is>
          <t>Петрозаводск, Прибрежный пер., 1</t>
        </is>
      </c>
      <c r="C23" s="24">
        <f>HYPERLINK("https://www.avito.ru/petrozavodsk/uslugi/priem_tsvetnogo_metalloloma_8023531905","8023531905")</f>
        <v/>
      </c>
      <c r="D23" s="24" t="inlineStr">
        <is>
          <t>Цветмет</t>
        </is>
      </c>
      <c r="E23" s="25" t="n">
        <v>60</v>
      </c>
      <c r="F23" s="25" t="n">
        <v>4</v>
      </c>
      <c r="G23" s="26" t="n">
        <v>0.06660000000000001</v>
      </c>
      <c r="H23" s="24" t="n">
        <v>2</v>
      </c>
      <c r="I23" s="24" t="n">
        <v>2</v>
      </c>
      <c r="J23" s="27" t="n">
        <v>66.3</v>
      </c>
      <c r="K23" s="28" t="n">
        <v>265.2</v>
      </c>
    </row>
    <row r="24">
      <c r="A24" s="23" t="inlineStr">
        <is>
          <t>Услуги</t>
        </is>
      </c>
      <c r="B24" s="7" t="inlineStr">
        <is>
          <t>Санкт-Петербург, б-р Новаторов, 73к4А</t>
        </is>
      </c>
      <c r="C24" s="24">
        <f>HYPERLINK("https://www.avito.ru/sankt-peterburg/uslugi/priem_akb_sdat_akb_7543139828","7543139828")</f>
        <v/>
      </c>
      <c r="D24" s="24" t="inlineStr">
        <is>
          <t>АКБ</t>
        </is>
      </c>
      <c r="E24" s="25" t="n">
        <v>52</v>
      </c>
      <c r="F24" s="25" t="n">
        <v>4</v>
      </c>
      <c r="G24" s="26" t="n">
        <v>0.0769</v>
      </c>
      <c r="H24" s="24" t="n">
        <v>1</v>
      </c>
      <c r="I24" s="24" t="n">
        <v>3</v>
      </c>
      <c r="J24" s="27" t="n">
        <v>505.25</v>
      </c>
      <c r="K24" s="28" t="n">
        <v>2021</v>
      </c>
    </row>
    <row r="25">
      <c r="A25" s="23" t="inlineStr">
        <is>
          <t>Услуги</t>
        </is>
      </c>
      <c r="B25" s="7" t="inlineStr">
        <is>
          <t>Псков, Алмазная ул., 6</t>
        </is>
      </c>
      <c r="C25" s="24">
        <f>HYPERLINK("https://www.avito.ru/pskov/uslugi/priem_metalloloma_priem_chernogo_loma_8023637444","8023637444")</f>
        <v/>
      </c>
      <c r="D25" s="24" t="inlineStr">
        <is>
          <t>Чермет</t>
        </is>
      </c>
      <c r="E25" s="25" t="n">
        <v>50</v>
      </c>
      <c r="F25" s="25" t="n">
        <v>1</v>
      </c>
      <c r="G25" s="26" t="n">
        <v>0.02</v>
      </c>
      <c r="H25" s="24" t="n">
        <v>0</v>
      </c>
      <c r="I25" s="24" t="n">
        <v>1</v>
      </c>
      <c r="J25" s="27" t="n">
        <v>239.7</v>
      </c>
      <c r="K25" s="28" t="n">
        <v>239.7</v>
      </c>
    </row>
    <row r="26">
      <c r="A26" s="23" t="inlineStr">
        <is>
          <t>Услуги</t>
        </is>
      </c>
      <c r="B26" s="7" t="inlineStr">
        <is>
          <t>Череповец, Северное ш., 71А</t>
        </is>
      </c>
      <c r="C26" s="24">
        <f>HYPERLINK("https://www.avito.ru/cherepovets/uslugi/priem_loma_tsvetnyh_metallov_8023543552","8023543552")</f>
        <v/>
      </c>
      <c r="D26" s="24" t="inlineStr">
        <is>
          <t>Цветмет</t>
        </is>
      </c>
      <c r="E26" s="25" t="n">
        <v>47</v>
      </c>
      <c r="F26" s="25" t="n">
        <v>1</v>
      </c>
      <c r="G26" s="26" t="n">
        <v>0.0212</v>
      </c>
      <c r="H26" s="24" t="n">
        <v>0</v>
      </c>
      <c r="I26" s="24" t="n">
        <v>1</v>
      </c>
      <c r="J26" s="27" t="n">
        <v>224.4</v>
      </c>
      <c r="K26" s="28" t="n">
        <v>224.4</v>
      </c>
    </row>
    <row r="27">
      <c r="A27" s="23" t="inlineStr">
        <is>
          <t>Услуги</t>
        </is>
      </c>
      <c r="B27" s="7" t="inlineStr">
        <is>
          <t>Санкт-Петербург, Гражданский пр-т, 116к1</t>
        </is>
      </c>
      <c r="C27" s="24">
        <f>HYPERLINK("https://www.avito.ru/sankt-peterburg/uslugi/priem_i_vyvoz_metalloloma_sdat_lom_8023868562","8023868562")</f>
        <v/>
      </c>
      <c r="D27" s="24" t="inlineStr">
        <is>
          <t>Общее</t>
        </is>
      </c>
      <c r="E27" s="25" t="n">
        <v>47</v>
      </c>
      <c r="F27" s="25" t="n">
        <v>6</v>
      </c>
      <c r="G27" s="26" t="n">
        <v>0.1276</v>
      </c>
      <c r="H27" s="24" t="n">
        <v>2</v>
      </c>
      <c r="I27" s="24" t="n">
        <v>4</v>
      </c>
      <c r="J27" s="27" t="n">
        <v>832.23</v>
      </c>
      <c r="K27" s="28" t="n">
        <v>4993.4</v>
      </c>
    </row>
    <row r="28">
      <c r="A28" s="23" t="inlineStr">
        <is>
          <t>Услуги</t>
        </is>
      </c>
      <c r="B28" s="7" t="inlineStr">
        <is>
          <t>Санкт-Петербург, Заневский пр-т, 69</t>
        </is>
      </c>
      <c r="C28" s="24">
        <f>HYPERLINK("https://www.avito.ru/sankt-peterburg/uslugi/priem_metalloloma_priem_tsvetnogo_loma_8023715667","8023715667")</f>
        <v/>
      </c>
      <c r="D28" s="24" t="inlineStr">
        <is>
          <t>Цветмет</t>
        </is>
      </c>
      <c r="E28" s="25" t="n">
        <v>46</v>
      </c>
      <c r="F28" s="25" t="n">
        <v>2</v>
      </c>
      <c r="G28" s="26" t="n">
        <v>0.0434</v>
      </c>
      <c r="H28" s="24" t="n">
        <v>2</v>
      </c>
      <c r="I28" s="24" t="n">
        <v>0</v>
      </c>
      <c r="J28" s="27" t="n">
        <v>438.6</v>
      </c>
      <c r="K28" s="28" t="n">
        <v>877.2</v>
      </c>
    </row>
    <row r="29">
      <c r="A29" s="23" t="inlineStr">
        <is>
          <t>Услуги</t>
        </is>
      </c>
      <c r="B29" s="7" t="inlineStr">
        <is>
          <t>Выборг, Промышленная ул., 10</t>
        </is>
      </c>
      <c r="C29" s="24">
        <f>HYPERLINK("https://www.avito.ru/vyborg/uslugi/priem_tsvetnogo_metalloloma_8023487924","8023487924")</f>
        <v/>
      </c>
      <c r="D29" s="24" t="inlineStr">
        <is>
          <t>Цветмет</t>
        </is>
      </c>
      <c r="E29" s="25" t="n">
        <v>45</v>
      </c>
      <c r="F29" s="25" t="n">
        <v>2</v>
      </c>
      <c r="G29" s="26" t="n">
        <v>0.0444</v>
      </c>
      <c r="H29" s="24" t="n">
        <v>2</v>
      </c>
      <c r="I29" s="24" t="n">
        <v>0</v>
      </c>
      <c r="J29" s="27" t="n">
        <v>402.05</v>
      </c>
      <c r="K29" s="28" t="n">
        <v>804.1</v>
      </c>
    </row>
    <row r="30">
      <c r="A30" s="23" t="inlineStr">
        <is>
          <t>Услуги</t>
        </is>
      </c>
      <c r="B30" s="7" t="inlineStr">
        <is>
          <t>Сокол, Советская ул., 122Б</t>
        </is>
      </c>
      <c r="C30" s="24">
        <f>HYPERLINK("https://www.avito.ru/vologodskaya_oblast_sokol/uslugi/priem_tsvetnogo_metalloloma_8023420373","8023420373")</f>
        <v/>
      </c>
      <c r="D30" s="24" t="inlineStr">
        <is>
          <t>Цветмет</t>
        </is>
      </c>
      <c r="E30" s="25" t="n">
        <v>40</v>
      </c>
      <c r="F30" s="25" t="n">
        <v>1</v>
      </c>
      <c r="G30" s="26" t="n">
        <v>0.025</v>
      </c>
      <c r="H30" s="24" t="n">
        <v>0</v>
      </c>
      <c r="I30" s="24" t="n">
        <v>0</v>
      </c>
      <c r="J30" s="27" t="n">
        <v>198.9</v>
      </c>
      <c r="K30" s="28" t="n">
        <v>198.9</v>
      </c>
    </row>
    <row r="31">
      <c r="A31" s="23" t="inlineStr">
        <is>
          <t>Услуги</t>
        </is>
      </c>
      <c r="B31" s="7" t="inlineStr">
        <is>
          <t>Выборг, Промышленная ул., 10</t>
        </is>
      </c>
      <c r="C31" s="24">
        <f>HYPERLINK("https://www.avito.ru/vyborg/uslugi/priem_metalloloma_priem_chernogo_loma_opt_8023080226","8023080226")</f>
        <v/>
      </c>
      <c r="D31" s="24" t="inlineStr">
        <is>
          <t>Чермет</t>
        </is>
      </c>
      <c r="E31" s="25" t="n">
        <v>39</v>
      </c>
      <c r="F31" s="25" t="n">
        <v>1</v>
      </c>
      <c r="G31" s="26" t="n">
        <v>0.0256</v>
      </c>
      <c r="H31" s="24" t="n">
        <v>1</v>
      </c>
      <c r="I31" s="24" t="n">
        <v>0</v>
      </c>
      <c r="J31" s="27" t="n">
        <v>710.6</v>
      </c>
      <c r="K31" s="28" t="n">
        <v>710.6</v>
      </c>
    </row>
    <row r="32">
      <c r="A32" s="23" t="inlineStr">
        <is>
          <t>Услуги</t>
        </is>
      </c>
      <c r="B32" s="7" t="inlineStr">
        <is>
          <t>Пикалёво, Советская ул.</t>
        </is>
      </c>
      <c r="C32" s="24">
        <f>HYPERLINK("https://www.avito.ru/pikalevo/uslugi/priem_tsvetnogo_metalloloma_8023345096","8023345096")</f>
        <v/>
      </c>
      <c r="D32" s="24" t="inlineStr">
        <is>
          <t>Цветмет</t>
        </is>
      </c>
      <c r="E32" s="25" t="n">
        <v>37</v>
      </c>
      <c r="F32" s="25" t="n">
        <v>0</v>
      </c>
      <c r="G32" s="26" t="n">
        <v>0</v>
      </c>
      <c r="H32" s="24" t="n">
        <v>0</v>
      </c>
      <c r="I32" s="24" t="n">
        <v>0</v>
      </c>
      <c r="J32" s="27" t="n">
        <v>0</v>
      </c>
      <c r="K32" s="28" t="n">
        <v>673.2</v>
      </c>
    </row>
    <row r="33">
      <c r="A33" s="23" t="inlineStr">
        <is>
          <t>Услуги</t>
        </is>
      </c>
      <c r="B33" s="7" t="inlineStr">
        <is>
          <t>Сланцы, Сланцевское ш., 32Б</t>
        </is>
      </c>
      <c r="C33" s="24">
        <f>HYPERLINK("https://www.avito.ru/slantsy/uslugi/priem_metalloloma_priem_tsvetnogo_loma_8023580238","8023580238")</f>
        <v/>
      </c>
      <c r="D33" s="24" t="inlineStr">
        <is>
          <t>Цветмет</t>
        </is>
      </c>
      <c r="E33" s="25" t="n">
        <v>37</v>
      </c>
      <c r="F33" s="25" t="n">
        <v>0</v>
      </c>
      <c r="G33" s="26" t="n">
        <v>0</v>
      </c>
      <c r="H33" s="24" t="n">
        <v>0</v>
      </c>
      <c r="I33" s="24" t="n">
        <v>0</v>
      </c>
      <c r="J33" s="27" t="n">
        <v>0</v>
      </c>
      <c r="K33" s="28" t="n">
        <v>673.2</v>
      </c>
    </row>
    <row r="34">
      <c r="A34" s="23" t="inlineStr">
        <is>
          <t>Услуги</t>
        </is>
      </c>
      <c r="B34" s="7" t="inlineStr">
        <is>
          <t>рп. Шексна, ДОЗ ул.</t>
        </is>
      </c>
      <c r="C34" s="24">
        <f>HYPERLINK("https://www.avito.ru/sheksna/uslugi/priem_loma_tsvetnyh_metallov_8023900075","8023900075")</f>
        <v/>
      </c>
      <c r="D34" s="24" t="inlineStr">
        <is>
          <t>Цветмет</t>
        </is>
      </c>
      <c r="E34" s="25" t="n">
        <v>37</v>
      </c>
      <c r="F34" s="25" t="n">
        <v>0</v>
      </c>
      <c r="G34" s="26" t="n">
        <v>0</v>
      </c>
      <c r="H34" s="24" t="n">
        <v>0</v>
      </c>
      <c r="I34" s="24" t="n">
        <v>0</v>
      </c>
      <c r="J34" s="27" t="n">
        <v>0</v>
      </c>
      <c r="K34" s="28" t="n">
        <v>178.5</v>
      </c>
    </row>
    <row r="35">
      <c r="A35" s="23" t="inlineStr">
        <is>
          <t>Услуги</t>
        </is>
      </c>
      <c r="B35" s="7" t="inlineStr">
        <is>
          <t>Санкт-Петербург, ул. Одоевского, 29</t>
        </is>
      </c>
      <c r="C35" s="24">
        <f>HYPERLINK("https://www.avito.ru/sankt-peterburg/uslugi/priem_metalloloma_priem_loma_demontazh_7543158206","7543158206")</f>
        <v/>
      </c>
      <c r="D35" s="24" t="inlineStr">
        <is>
          <t>Общее</t>
        </is>
      </c>
      <c r="E35" s="25" t="n">
        <v>36</v>
      </c>
      <c r="F35" s="25" t="n">
        <v>5</v>
      </c>
      <c r="G35" s="26" t="n">
        <v>0.1388</v>
      </c>
      <c r="H35" s="24" t="n">
        <v>2</v>
      </c>
      <c r="I35" s="24" t="n">
        <v>3</v>
      </c>
      <c r="J35" s="27" t="n">
        <v>1016.32</v>
      </c>
      <c r="K35" s="28" t="n">
        <v>5081.6</v>
      </c>
    </row>
    <row r="36">
      <c r="A36" s="23" t="inlineStr">
        <is>
          <t>Услуги</t>
        </is>
      </c>
      <c r="B36" s="7" t="inlineStr">
        <is>
          <t>Боровичи, Новгородская ул., 1</t>
        </is>
      </c>
      <c r="C36" s="24">
        <f>HYPERLINK("https://www.avito.ru/borovichi/uslugi/priem_metalloloma_priem_chernogo_loma_8023899134","8023899134")</f>
        <v/>
      </c>
      <c r="D36" s="24" t="inlineStr">
        <is>
          <t>Чермет</t>
        </is>
      </c>
      <c r="E36" s="25" t="n">
        <v>36</v>
      </c>
      <c r="F36" s="25" t="n">
        <v>0</v>
      </c>
      <c r="G36" s="26" t="n">
        <v>0</v>
      </c>
      <c r="H36" s="24" t="n">
        <v>0</v>
      </c>
      <c r="I36" s="24" t="n">
        <v>0</v>
      </c>
      <c r="J36" s="27" t="n">
        <v>0</v>
      </c>
      <c r="K36" s="28" t="n">
        <v>183.6</v>
      </c>
    </row>
    <row r="37">
      <c r="A37" s="23" t="inlineStr">
        <is>
          <t>Услуги</t>
        </is>
      </c>
      <c r="B37" s="7" t="inlineStr">
        <is>
          <t>Вологда, ул. Чернышевского, 141А</t>
        </is>
      </c>
      <c r="C37" s="24">
        <f>HYPERLINK("https://www.avito.ru/vologda/uslugi/priem_tsvetnogo_metalloloma_8023023404","8023023404")</f>
        <v/>
      </c>
      <c r="D37" s="24" t="inlineStr">
        <is>
          <t>Цветмет</t>
        </is>
      </c>
      <c r="E37" s="25" t="n">
        <v>34</v>
      </c>
      <c r="F37" s="25" t="n">
        <v>0</v>
      </c>
      <c r="G37" s="26" t="n">
        <v>0</v>
      </c>
      <c r="H37" s="24" t="n">
        <v>0</v>
      </c>
      <c r="I37" s="24" t="n">
        <v>0</v>
      </c>
      <c r="J37" s="27" t="n">
        <v>0</v>
      </c>
      <c r="K37" s="28" t="n">
        <v>158.1</v>
      </c>
    </row>
    <row r="38">
      <c r="A38" s="23" t="inlineStr">
        <is>
          <t>Услуги</t>
        </is>
      </c>
      <c r="B38" s="7" t="inlineStr">
        <is>
          <t>Санкт-Петербург, пр-т Науки, 19к1</t>
        </is>
      </c>
      <c r="C38" s="24">
        <f>HYPERLINK("https://www.avito.ru/sankt-peterburg/uslugi/priem_i_vyvoz_metalloloma_sdat_lom_8023351187","8023351187")</f>
        <v/>
      </c>
      <c r="D38" s="24" t="inlineStr">
        <is>
          <t>Общее</t>
        </is>
      </c>
      <c r="E38" s="25" t="n">
        <v>34</v>
      </c>
      <c r="F38" s="25" t="n">
        <v>0</v>
      </c>
      <c r="G38" s="26" t="n">
        <v>0</v>
      </c>
      <c r="H38" s="24" t="n">
        <v>0</v>
      </c>
      <c r="I38" s="24" t="n">
        <v>0</v>
      </c>
      <c r="J38" s="27" t="n">
        <v>0</v>
      </c>
      <c r="K38" s="28" t="n">
        <v>693.6</v>
      </c>
    </row>
    <row r="39">
      <c r="A39" s="23" t="inlineStr">
        <is>
          <t>Услуги</t>
        </is>
      </c>
      <c r="B39" s="7" t="inlineStr">
        <is>
          <t>Тихвин, Право-Вологодский тупик, 9</t>
        </is>
      </c>
      <c r="C39" s="24">
        <f>HYPERLINK("https://www.avito.ru/tihvin/uslugi/priem_metalloloma_priem_tsvetnogo_loma_8023188116","8023188116")</f>
        <v/>
      </c>
      <c r="D39" s="24" t="inlineStr">
        <is>
          <t>Цветмет</t>
        </is>
      </c>
      <c r="E39" s="25" t="n">
        <v>32</v>
      </c>
      <c r="F39" s="25" t="n">
        <v>3</v>
      </c>
      <c r="G39" s="26" t="n">
        <v>0.09370000000000001</v>
      </c>
      <c r="H39" s="24" t="n">
        <v>1</v>
      </c>
      <c r="I39" s="24" t="n">
        <v>2</v>
      </c>
      <c r="J39" s="27" t="n">
        <v>187</v>
      </c>
      <c r="K39" s="28" t="n">
        <v>561</v>
      </c>
    </row>
    <row r="40">
      <c r="A40" s="23" t="inlineStr">
        <is>
          <t>Услуги</t>
        </is>
      </c>
      <c r="B40" s="7" t="inlineStr">
        <is>
          <t>Санкт-Петербург, ул. Дыбенко, 26</t>
        </is>
      </c>
      <c r="C40" s="24">
        <f>HYPERLINK("https://www.avito.ru/sankt-peterburg/uslugi/priem_metalla_demontazh_priem_metalloloma_8023299475","8023299475")</f>
        <v/>
      </c>
      <c r="D40" s="24" t="inlineStr">
        <is>
          <t>Общее</t>
        </is>
      </c>
      <c r="E40" s="25" t="n">
        <v>32</v>
      </c>
      <c r="F40" s="25" t="n">
        <v>9</v>
      </c>
      <c r="G40" s="26" t="n">
        <v>0.2812</v>
      </c>
      <c r="H40" s="24" t="n">
        <v>1</v>
      </c>
      <c r="I40" s="24" t="n">
        <v>7</v>
      </c>
      <c r="J40" s="27" t="n">
        <v>525.24</v>
      </c>
      <c r="K40" s="28" t="n">
        <v>4727.2</v>
      </c>
    </row>
    <row r="41">
      <c r="A41" s="23" t="inlineStr">
        <is>
          <t>Услуги</t>
        </is>
      </c>
      <c r="B41" s="7" t="inlineStr">
        <is>
          <t>Санкт-Петербург, ул. Дыбенко, 26</t>
        </is>
      </c>
      <c r="C41" s="24">
        <f>HYPERLINK("https://www.avito.ru/sankt-peterburg/uslugi/priem_metalloloma_vyvoz_metalloloma_8023266841","8023266841")</f>
        <v/>
      </c>
      <c r="D41" s="24" t="inlineStr">
        <is>
          <t>Общее</t>
        </is>
      </c>
      <c r="E41" s="25" t="n">
        <v>31</v>
      </c>
      <c r="F41" s="25" t="n">
        <v>1</v>
      </c>
      <c r="G41" s="26" t="n">
        <v>0.0322</v>
      </c>
      <c r="H41" s="24" t="n">
        <v>1</v>
      </c>
      <c r="I41" s="24" t="n">
        <v>0</v>
      </c>
      <c r="J41" s="27" t="n">
        <v>591.6</v>
      </c>
      <c r="K41" s="28" t="n">
        <v>591.6</v>
      </c>
    </row>
    <row r="42">
      <c r="A42" s="23" t="inlineStr">
        <is>
          <t>Услуги</t>
        </is>
      </c>
      <c r="B42" s="7" t="inlineStr">
        <is>
          <t>Северодвинск, Ягринское ш., 2А</t>
        </is>
      </c>
      <c r="C42" s="24">
        <f>HYPERLINK("https://www.avito.ru/severodvinsk/uslugi/priem_metalloloma_priem_tsvetnogo_loma_8023518256","8023518256")</f>
        <v/>
      </c>
      <c r="D42" s="24" t="inlineStr">
        <is>
          <t>Цветмет</t>
        </is>
      </c>
      <c r="E42" s="25" t="n">
        <v>31</v>
      </c>
      <c r="F42" s="25" t="n">
        <v>0</v>
      </c>
      <c r="G42" s="26" t="n">
        <v>0</v>
      </c>
      <c r="H42" s="24" t="n">
        <v>0</v>
      </c>
      <c r="I42" s="24" t="n">
        <v>0</v>
      </c>
      <c r="J42" s="27" t="n">
        <v>0</v>
      </c>
      <c r="K42" s="28" t="n">
        <v>153</v>
      </c>
    </row>
    <row r="43">
      <c r="A43" s="23" t="inlineStr">
        <is>
          <t>Услуги</t>
        </is>
      </c>
      <c r="B43" s="7" t="inlineStr">
        <is>
          <t>Санкт-Петербург, 1 линия – Кировско-Выборгская</t>
        </is>
      </c>
      <c r="C43" s="24">
        <f>HYPERLINK("https://www.avito.ru/sankt-peterburg/uslugi/spektralnyy_analiz_sostava_metalla_7799250387","7799250387")</f>
        <v/>
      </c>
      <c r="D43" s="24" t="inlineStr">
        <is>
          <t>Общее</t>
        </is>
      </c>
      <c r="E43" s="25" t="n">
        <v>28</v>
      </c>
      <c r="F43" s="25" t="n">
        <v>4</v>
      </c>
      <c r="G43" s="26" t="n">
        <v>0.1428</v>
      </c>
      <c r="H43" s="24" t="n">
        <v>3</v>
      </c>
      <c r="I43" s="24" t="n">
        <v>1</v>
      </c>
      <c r="J43" s="27" t="n">
        <v>112.7</v>
      </c>
      <c r="K43" s="28" t="n">
        <v>450.8</v>
      </c>
    </row>
    <row r="44">
      <c r="A44" s="23" t="inlineStr">
        <is>
          <t>Услуги</t>
        </is>
      </c>
      <c r="B44" s="7" t="inlineStr">
        <is>
          <t>Боровичи, Новгородская ул., 1</t>
        </is>
      </c>
      <c r="C44" s="24">
        <f>HYPERLINK("https://www.avito.ru/borovichi/uslugi/priem_loma_priem_tsvetnogo_loma_priem_chermeta_8023707576","8023707576")</f>
        <v/>
      </c>
      <c r="D44" s="24" t="inlineStr">
        <is>
          <t>Цветмет</t>
        </is>
      </c>
      <c r="E44" s="25" t="n">
        <v>28</v>
      </c>
      <c r="F44" s="25" t="n">
        <v>0</v>
      </c>
      <c r="G44" s="26" t="n">
        <v>0</v>
      </c>
      <c r="H44" s="24" t="n">
        <v>0</v>
      </c>
      <c r="I44" s="24" t="n">
        <v>0</v>
      </c>
      <c r="J44" s="27" t="n">
        <v>0</v>
      </c>
      <c r="K44" s="28" t="n">
        <v>137.7</v>
      </c>
    </row>
    <row r="45">
      <c r="A45" s="23" t="inlineStr">
        <is>
          <t>Услуги</t>
        </is>
      </c>
      <c r="B45" s="7" t="inlineStr">
        <is>
          <t>Санкт-Петербург, Бухарестская ул., 30</t>
        </is>
      </c>
      <c r="C45" s="24">
        <f>HYPERLINK("https://www.avito.ru/sankt-peterburg/uslugi/priem_i_vyvoz_metalloloma_priem_redkih_metallov_8023098686","8023098686")</f>
        <v/>
      </c>
      <c r="D45" s="24" t="inlineStr">
        <is>
          <t>РЗМ</t>
        </is>
      </c>
      <c r="E45" s="25" t="n">
        <v>26</v>
      </c>
      <c r="F45" s="25" t="n">
        <v>0</v>
      </c>
      <c r="G45" s="26" t="n">
        <v>0</v>
      </c>
      <c r="H45" s="24" t="n">
        <v>0</v>
      </c>
      <c r="I45" s="24" t="n">
        <v>0</v>
      </c>
      <c r="J45" s="27" t="n">
        <v>0</v>
      </c>
      <c r="K45" s="28" t="n">
        <v>530.4</v>
      </c>
    </row>
    <row r="46">
      <c r="A46" s="23" t="inlineStr">
        <is>
          <t>Услуги</t>
        </is>
      </c>
      <c r="B46" s="7" t="inlineStr">
        <is>
          <t>Санкт-Петербург, Гражданский пр-т, 116к1</t>
        </is>
      </c>
      <c r="C46" s="24">
        <f>HYPERLINK("https://www.avito.ru/sankt-peterburg/uslugi/priem_i_vyvoz_metalloloma_priem_redkih_metallov_8023865033","8023865033")</f>
        <v/>
      </c>
      <c r="D46" s="24" t="inlineStr">
        <is>
          <t>РЗМ</t>
        </is>
      </c>
      <c r="E46" s="25" t="n">
        <v>26</v>
      </c>
      <c r="F46" s="25" t="n">
        <v>9</v>
      </c>
      <c r="G46" s="26" t="n">
        <v>0.3461</v>
      </c>
      <c r="H46" s="24" t="n">
        <v>4</v>
      </c>
      <c r="I46" s="24" t="n">
        <v>5</v>
      </c>
      <c r="J46" s="27" t="n">
        <v>451.34</v>
      </c>
      <c r="K46" s="28" t="n">
        <v>4062.08</v>
      </c>
    </row>
    <row r="47">
      <c r="A47" s="23" t="inlineStr">
        <is>
          <t>Услуги</t>
        </is>
      </c>
      <c r="B47" s="7" t="inlineStr">
        <is>
          <t>Санкт-Петербург, Московская пл.</t>
        </is>
      </c>
      <c r="C47" s="24">
        <f>HYPERLINK("https://www.avito.ru/sankt-peterburg/uslugi/priem_metalloloma_priem_loma_demontazh_8023716687","8023716687")</f>
        <v/>
      </c>
      <c r="D47" s="24" t="inlineStr">
        <is>
          <t>Общее</t>
        </is>
      </c>
      <c r="E47" s="25" t="n">
        <v>25</v>
      </c>
      <c r="F47" s="25" t="n">
        <v>3</v>
      </c>
      <c r="G47" s="26" t="n">
        <v>0.12</v>
      </c>
      <c r="H47" s="24" t="n">
        <v>0</v>
      </c>
      <c r="I47" s="24" t="n">
        <v>2</v>
      </c>
      <c r="J47" s="27" t="n">
        <v>947.6</v>
      </c>
      <c r="K47" s="28" t="n">
        <v>2842.8</v>
      </c>
    </row>
    <row r="48">
      <c r="A48" s="23" t="inlineStr">
        <is>
          <t>Услуги</t>
        </is>
      </c>
      <c r="B48" s="7" t="inlineStr">
        <is>
          <t>Великий Новгород, Донецкий район, Студенческая ул., 20</t>
        </is>
      </c>
      <c r="C48" s="24">
        <f>HYPERLINK("https://www.avito.ru/velikiy_novgorod/uslugi/priem_metalloloma_priem_chernogo_loma_8023865130","8023865130")</f>
        <v/>
      </c>
      <c r="D48" s="24" t="inlineStr">
        <is>
          <t>Чермет</t>
        </is>
      </c>
      <c r="E48" s="25" t="n">
        <v>23</v>
      </c>
      <c r="F48" s="25" t="n">
        <v>0</v>
      </c>
      <c r="G48" s="26" t="n">
        <v>0</v>
      </c>
      <c r="H48" s="24" t="n">
        <v>0</v>
      </c>
      <c r="I48" s="24" t="n">
        <v>0</v>
      </c>
      <c r="J48" s="27" t="n">
        <v>0</v>
      </c>
      <c r="K48" s="28" t="n">
        <v>112.2</v>
      </c>
    </row>
    <row r="49">
      <c r="A49" s="23" t="inlineStr">
        <is>
          <t>Услуги</t>
        </is>
      </c>
      <c r="B49" s="7" t="inlineStr">
        <is>
          <t>Санкт-Петербург, Заневский пр-т</t>
        </is>
      </c>
      <c r="C49" s="24">
        <f>HYPERLINK("https://www.avito.ru/sankt-peterburg/uslugi/vyvoz_metalloloma_priem_loma_demontazh_7543675768","7543675768")</f>
        <v/>
      </c>
      <c r="D49" s="24" t="inlineStr">
        <is>
          <t>Общее</t>
        </is>
      </c>
      <c r="E49" s="25" t="n">
        <v>22</v>
      </c>
      <c r="F49" s="25" t="n">
        <v>4</v>
      </c>
      <c r="G49" s="26" t="n">
        <v>0.1818</v>
      </c>
      <c r="H49" s="24" t="n">
        <v>2</v>
      </c>
      <c r="I49" s="24" t="n">
        <v>2</v>
      </c>
      <c r="J49" s="27" t="n">
        <v>1128.6</v>
      </c>
      <c r="K49" s="28" t="n">
        <v>4514.4</v>
      </c>
    </row>
    <row r="50">
      <c r="A50" s="23" t="inlineStr">
        <is>
          <t>Услуги</t>
        </is>
      </c>
      <c r="B50" s="7" t="inlineStr">
        <is>
          <t>Пестово, Луговая ул., 4</t>
        </is>
      </c>
      <c r="C50" s="24">
        <f>HYPERLINK("https://www.avito.ru/pestovo/uslugi/priem_metalloloma_priem_chernogo_loma_8022982419","8022982419")</f>
        <v/>
      </c>
      <c r="D50" s="24" t="inlineStr">
        <is>
          <t>Чермет</t>
        </is>
      </c>
      <c r="E50" s="25" t="n">
        <v>20</v>
      </c>
      <c r="F50" s="25" t="n">
        <v>0</v>
      </c>
      <c r="G50" s="26" t="n">
        <v>0</v>
      </c>
      <c r="H50" s="24" t="n">
        <v>0</v>
      </c>
      <c r="I50" s="24" t="n">
        <v>0</v>
      </c>
      <c r="J50" s="27" t="n">
        <v>0</v>
      </c>
      <c r="K50" s="28" t="n">
        <v>102</v>
      </c>
    </row>
    <row r="51">
      <c r="A51" s="23" t="inlineStr">
        <is>
          <t>Услуги</t>
        </is>
      </c>
      <c r="B51" s="7" t="inlineStr">
        <is>
          <t>Гатчина, ул. Старая Дорога, 2</t>
        </is>
      </c>
      <c r="C51" s="24">
        <f>HYPERLINK("https://www.avito.ru/gatchina/uslugi/priem_metalloloma_priem_chernogo_loma_8023164342","8023164342")</f>
        <v/>
      </c>
      <c r="D51" s="24" t="inlineStr">
        <is>
          <t>Чермет</t>
        </is>
      </c>
      <c r="E51" s="25" t="n">
        <v>19</v>
      </c>
      <c r="F51" s="25" t="n">
        <v>0</v>
      </c>
      <c r="G51" s="26" t="n">
        <v>0</v>
      </c>
      <c r="H51" s="24" t="n">
        <v>0</v>
      </c>
      <c r="I51" s="24" t="n">
        <v>0</v>
      </c>
      <c r="J51" s="27" t="n">
        <v>0</v>
      </c>
      <c r="K51" s="28" t="n">
        <v>280.5</v>
      </c>
    </row>
    <row r="52">
      <c r="A52" s="23" t="inlineStr">
        <is>
          <t>Услуги</t>
        </is>
      </c>
      <c r="B52" s="7" t="inlineStr">
        <is>
          <t>Пестово, Луговая ул., 4</t>
        </is>
      </c>
      <c r="C52" s="24">
        <f>HYPERLINK("https://www.avito.ru/pestovo/uslugi/priem_metalloloma_priem_tsvetnogo_loma_8023269621","8023269621")</f>
        <v/>
      </c>
      <c r="D52" s="24" t="inlineStr">
        <is>
          <t>Цветмет</t>
        </is>
      </c>
      <c r="E52" s="25" t="n">
        <v>19</v>
      </c>
      <c r="F52" s="25" t="n">
        <v>0</v>
      </c>
      <c r="G52" s="26" t="n">
        <v>0</v>
      </c>
      <c r="H52" s="24" t="n">
        <v>0</v>
      </c>
      <c r="I52" s="24" t="n">
        <v>0</v>
      </c>
      <c r="J52" s="27" t="n">
        <v>0</v>
      </c>
      <c r="K52" s="28" t="n">
        <v>91.8</v>
      </c>
    </row>
    <row r="53">
      <c r="A53" s="23" t="inlineStr">
        <is>
          <t>Услуги</t>
        </is>
      </c>
      <c r="B53" s="7" t="inlineStr">
        <is>
          <t>Подпорожье</t>
        </is>
      </c>
      <c r="C53" s="24">
        <f>HYPERLINK("https://www.avito.ru/podporozhe/uslugi/priem_tsvetnogo_metalloloma_8023840634","8023840634")</f>
        <v/>
      </c>
      <c r="D53" s="24" t="inlineStr">
        <is>
          <t>Цветмет</t>
        </is>
      </c>
      <c r="E53" s="25" t="n">
        <v>19</v>
      </c>
      <c r="F53" s="25" t="n">
        <v>2</v>
      </c>
      <c r="G53" s="26" t="n">
        <v>0.1052</v>
      </c>
      <c r="H53" s="24" t="n">
        <v>0</v>
      </c>
      <c r="I53" s="24" t="n">
        <v>2</v>
      </c>
      <c r="J53" s="27" t="n">
        <v>177.65</v>
      </c>
      <c r="K53" s="28" t="n">
        <v>355.3</v>
      </c>
    </row>
    <row r="54">
      <c r="A54" s="23" t="inlineStr">
        <is>
          <t>Услуги</t>
        </is>
      </c>
      <c r="B54" s="7" t="inlineStr">
        <is>
          <t>Невель, ул. Урицкого, 116</t>
        </is>
      </c>
      <c r="C54" s="24">
        <f>HYPERLINK("https://www.avito.ru/nevel/uslugi/priem_i_vyvoz_metalloloma_samovyvoz_loma_8023848483","8023848483")</f>
        <v/>
      </c>
      <c r="D54" s="24" t="inlineStr">
        <is>
          <t>Общее</t>
        </is>
      </c>
      <c r="E54" s="25" t="n">
        <v>19</v>
      </c>
      <c r="F54" s="25" t="n">
        <v>0</v>
      </c>
      <c r="G54" s="26" t="n">
        <v>0</v>
      </c>
      <c r="H54" s="24" t="n">
        <v>0</v>
      </c>
      <c r="I54" s="24" t="n">
        <v>0</v>
      </c>
      <c r="J54" s="27" t="n">
        <v>0</v>
      </c>
      <c r="K54" s="28" t="n">
        <v>96.90000000000001</v>
      </c>
    </row>
    <row r="55">
      <c r="A55" s="23" t="inlineStr">
        <is>
          <t>Услуги</t>
        </is>
      </c>
      <c r="B55" s="7" t="inlineStr">
        <is>
          <t>Санкт-Петербург, ул. Одоевского, 29</t>
        </is>
      </c>
      <c r="C55" s="24">
        <f>HYPERLINK("https://www.avito.ru/sankt-peterburg/uslugi/priem_kabelya_sdat_kabel_sdat_provodku_7703090725","7703090725")</f>
        <v/>
      </c>
      <c r="D55" s="24" t="inlineStr">
        <is>
          <t>Кабель</t>
        </is>
      </c>
      <c r="E55" s="25" t="n">
        <v>18</v>
      </c>
      <c r="F55" s="25" t="n">
        <v>2</v>
      </c>
      <c r="G55" s="26" t="n">
        <v>0.1111</v>
      </c>
      <c r="H55" s="24" t="n">
        <v>2</v>
      </c>
      <c r="I55" s="24" t="n">
        <v>0</v>
      </c>
      <c r="J55" s="27" t="n">
        <v>1381.6</v>
      </c>
      <c r="K55" s="28" t="n">
        <v>2763.2</v>
      </c>
    </row>
    <row r="56">
      <c r="A56" s="23" t="inlineStr">
        <is>
          <t>Услуги</t>
        </is>
      </c>
      <c r="B56" s="7" t="inlineStr">
        <is>
          <t>Сокол, Советская ул., 122Б</t>
        </is>
      </c>
      <c r="C56" s="24">
        <f>HYPERLINK("https://www.avito.ru/vologodskaya_oblast_sokol/uslugi/priem_metalloloma_priem_chernogo_loma_opt_8023104988","8023104988")</f>
        <v/>
      </c>
      <c r="D56" s="24" t="inlineStr">
        <is>
          <t>Чермет</t>
        </is>
      </c>
      <c r="E56" s="25" t="n">
        <v>18</v>
      </c>
      <c r="F56" s="25" t="n">
        <v>0</v>
      </c>
      <c r="G56" s="26" t="n">
        <v>0</v>
      </c>
      <c r="H56" s="24" t="n">
        <v>0</v>
      </c>
      <c r="I56" s="24" t="n">
        <v>0</v>
      </c>
      <c r="J56" s="27" t="n">
        <v>0</v>
      </c>
      <c r="K56" s="28" t="n">
        <v>81.59999999999999</v>
      </c>
    </row>
    <row r="57">
      <c r="A57" s="23" t="inlineStr">
        <is>
          <t>Услуги</t>
        </is>
      </c>
      <c r="B57" s="7" t="inlineStr">
        <is>
          <t>Санкт-Петербург, ул. Савушкина, 2</t>
        </is>
      </c>
      <c r="C57" s="24">
        <f>HYPERLINK("https://www.avito.ru/sankt-peterburg/uslugi/priem_metalla_demontazh_priem_metalloloma_8023841120","8023841120")</f>
        <v/>
      </c>
      <c r="D57" s="24" t="inlineStr">
        <is>
          <t>Общее</t>
        </is>
      </c>
      <c r="E57" s="25" t="n">
        <v>18</v>
      </c>
      <c r="F57" s="25" t="n">
        <v>4</v>
      </c>
      <c r="G57" s="26" t="n">
        <v>0.2222</v>
      </c>
      <c r="H57" s="24" t="n">
        <v>3</v>
      </c>
      <c r="I57" s="24" t="n">
        <v>1</v>
      </c>
      <c r="J57" s="27" t="n">
        <v>616.3</v>
      </c>
      <c r="K57" s="28" t="n">
        <v>2465.2</v>
      </c>
    </row>
    <row r="58">
      <c r="A58" s="23" t="inlineStr">
        <is>
          <t>Услуги</t>
        </is>
      </c>
      <c r="B58" s="7" t="inlineStr">
        <is>
          <t>Псков, Инженерная ул., 7</t>
        </is>
      </c>
      <c r="C58" s="24">
        <f>HYPERLINK("https://www.avito.ru/pskov/uslugi/priem_metalla_demontazh_priem_metalloloma_8023197482","8023197482")</f>
        <v/>
      </c>
      <c r="D58" s="24" t="inlineStr">
        <is>
          <t>Общее</t>
        </is>
      </c>
      <c r="E58" s="25" t="n">
        <v>17</v>
      </c>
      <c r="F58" s="25" t="n">
        <v>0</v>
      </c>
      <c r="G58" s="26" t="n">
        <v>0</v>
      </c>
      <c r="H58" s="24" t="n">
        <v>0</v>
      </c>
      <c r="I58" s="24" t="n">
        <v>0</v>
      </c>
      <c r="J58" s="27" t="n">
        <v>0</v>
      </c>
      <c r="K58" s="28" t="n">
        <v>86.7</v>
      </c>
    </row>
    <row r="59">
      <c r="A59" s="23" t="inlineStr">
        <is>
          <t>Услуги</t>
        </is>
      </c>
      <c r="B59" s="7" t="inlineStr">
        <is>
          <t>Валдай, Новгородская ул., 3</t>
        </is>
      </c>
      <c r="C59" s="24">
        <f>HYPERLINK("https://www.avito.ru/valday/uslugi/priem_metalloloma_skupka_metalla_8023435398","8023435398")</f>
        <v/>
      </c>
      <c r="D59" s="24" t="inlineStr">
        <is>
          <t>Общее</t>
        </is>
      </c>
      <c r="E59" s="25" t="n">
        <v>17</v>
      </c>
      <c r="F59" s="25" t="n">
        <v>0</v>
      </c>
      <c r="G59" s="26" t="n">
        <v>0</v>
      </c>
      <c r="H59" s="24" t="n">
        <v>0</v>
      </c>
      <c r="I59" s="24" t="n">
        <v>0</v>
      </c>
      <c r="J59" s="27" t="n">
        <v>0</v>
      </c>
      <c r="K59" s="28" t="n">
        <v>81.59999999999999</v>
      </c>
    </row>
    <row r="60">
      <c r="A60" s="23" t="inlineStr">
        <is>
          <t>Услуги</t>
        </is>
      </c>
      <c r="B60" s="7" t="inlineStr">
        <is>
          <t>Остров, ул. Карла Маркса, 90Б</t>
        </is>
      </c>
      <c r="C60" s="24">
        <f>HYPERLINK("https://www.avito.ru/ostrov/uslugi/priem_metalloloma_priem_chernogo_loma_opt_8023710211","8023710211")</f>
        <v/>
      </c>
      <c r="D60" s="24" t="inlineStr">
        <is>
          <t>Чермет</t>
        </is>
      </c>
      <c r="E60" s="25" t="n">
        <v>17</v>
      </c>
      <c r="F60" s="25" t="n">
        <v>0</v>
      </c>
      <c r="G60" s="26" t="n">
        <v>0</v>
      </c>
      <c r="H60" s="24" t="n">
        <v>0</v>
      </c>
      <c r="I60" s="24" t="n">
        <v>0</v>
      </c>
      <c r="J60" s="27" t="n">
        <v>0</v>
      </c>
      <c r="K60" s="28" t="n">
        <v>86.7</v>
      </c>
    </row>
    <row r="61">
      <c r="A61" s="23" t="inlineStr">
        <is>
          <t>Услуги</t>
        </is>
      </c>
      <c r="B61" s="7" t="inlineStr">
        <is>
          <t>Санкт-Петербург, Заневский пр-т, 69</t>
        </is>
      </c>
      <c r="C61" s="24">
        <f>HYPERLINK("https://www.avito.ru/sankt-peterburg/uslugi/priem_loma_priem_tsvetnogo_loma_priem_chermeta_8023507126","8023507126")</f>
        <v/>
      </c>
      <c r="D61" s="24" t="inlineStr">
        <is>
          <t>Цветмет</t>
        </is>
      </c>
      <c r="E61" s="25" t="n">
        <v>16</v>
      </c>
      <c r="F61" s="25" t="n">
        <v>1</v>
      </c>
      <c r="G61" s="26" t="n">
        <v>0.0625</v>
      </c>
      <c r="H61" s="24" t="n">
        <v>0</v>
      </c>
      <c r="I61" s="24" t="n">
        <v>1</v>
      </c>
      <c r="J61" s="27" t="n">
        <v>2328.8</v>
      </c>
      <c r="K61" s="28" t="n">
        <v>2328.8</v>
      </c>
    </row>
    <row r="62">
      <c r="A62" s="23" t="inlineStr">
        <is>
          <t>Услуги</t>
        </is>
      </c>
      <c r="B62" s="7" t="inlineStr">
        <is>
          <t>Волхов, Новгородская ул., 7</t>
        </is>
      </c>
      <c r="C62" s="24">
        <f>HYPERLINK("https://www.avito.ru/volhov/uslugi/priem_metalloloma_priem_chernogo_loma_8023774305","8023774305")</f>
        <v/>
      </c>
      <c r="D62" s="24" t="inlineStr">
        <is>
          <t>Чермет</t>
        </is>
      </c>
      <c r="E62" s="25" t="n">
        <v>16</v>
      </c>
      <c r="F62" s="25" t="n">
        <v>0</v>
      </c>
      <c r="G62" s="26" t="n">
        <v>0</v>
      </c>
      <c r="H62" s="24" t="n">
        <v>0</v>
      </c>
      <c r="I62" s="24" t="n">
        <v>0</v>
      </c>
      <c r="J62" s="27" t="n">
        <v>0</v>
      </c>
      <c r="K62" s="28" t="n">
        <v>280.5</v>
      </c>
    </row>
    <row r="63">
      <c r="A63" s="23" t="inlineStr">
        <is>
          <t>Услуги</t>
        </is>
      </c>
      <c r="B63" s="7" t="inlineStr">
        <is>
          <t>Санкт-Петербург, пр-т Стачек, 70</t>
        </is>
      </c>
      <c r="C63" s="24">
        <f>HYPERLINK("https://www.avito.ru/sankt-peterburg/uslugi/demontazh_snos_zdaniy_metallokonstruktsiy_7735781826","7735781826")</f>
        <v/>
      </c>
      <c r="D63" s="24" t="inlineStr">
        <is>
          <t>Общее</t>
        </is>
      </c>
      <c r="E63" s="25" t="n">
        <v>15</v>
      </c>
      <c r="F63" s="25" t="n">
        <v>2</v>
      </c>
      <c r="G63" s="26" t="n">
        <v>0.1333</v>
      </c>
      <c r="H63" s="24" t="n">
        <v>1</v>
      </c>
      <c r="I63" s="24" t="n">
        <v>1</v>
      </c>
      <c r="J63" s="27" t="n">
        <v>2010.71</v>
      </c>
      <c r="K63" s="28" t="n">
        <v>4021.42</v>
      </c>
    </row>
    <row r="64">
      <c r="A64" s="23" t="inlineStr">
        <is>
          <t>Услуги</t>
        </is>
      </c>
      <c r="B64" s="7" t="inlineStr">
        <is>
          <t>Старая Русса, ул. Кириллова</t>
        </is>
      </c>
      <c r="C64" s="24">
        <f>HYPERLINK("https://www.avito.ru/staraya_russa/uslugi/priem_loma_priem_tsvetnogo_loma_priem_chermeta_8023108025","8023108025")</f>
        <v/>
      </c>
      <c r="D64" s="24" t="inlineStr">
        <is>
          <t>Цветмет</t>
        </is>
      </c>
      <c r="E64" s="25" t="n">
        <v>15</v>
      </c>
      <c r="F64" s="25" t="n">
        <v>0</v>
      </c>
      <c r="G64" s="26" t="n">
        <v>0</v>
      </c>
      <c r="H64" s="24" t="n">
        <v>0</v>
      </c>
      <c r="I64" s="24" t="n">
        <v>0</v>
      </c>
      <c r="J64" s="27" t="n">
        <v>0</v>
      </c>
      <c r="K64" s="28" t="n">
        <v>66.3</v>
      </c>
    </row>
    <row r="65">
      <c r="A65" s="23" t="inlineStr">
        <is>
          <t>Услуги</t>
        </is>
      </c>
      <c r="B65" s="7" t="inlineStr">
        <is>
          <t>Великий Устюг, Советский пр-т, 3</t>
        </is>
      </c>
      <c r="C65" s="24">
        <f>HYPERLINK("https://www.avito.ru/velikiy_ustyug/uslugi/priem_metalla_sdat_lom_vyvoz_loma_8023566447","8023566447")</f>
        <v/>
      </c>
      <c r="D65" s="24" t="inlineStr">
        <is>
          <t>Общее</t>
        </is>
      </c>
      <c r="E65" s="25" t="n">
        <v>15</v>
      </c>
      <c r="F65" s="25" t="n">
        <v>0</v>
      </c>
      <c r="G65" s="26" t="n">
        <v>0</v>
      </c>
      <c r="H65" s="24" t="n">
        <v>0</v>
      </c>
      <c r="I65" s="24" t="n">
        <v>0</v>
      </c>
      <c r="J65" s="27" t="n">
        <v>0</v>
      </c>
      <c r="K65" s="28" t="n">
        <v>71.40000000000001</v>
      </c>
    </row>
    <row r="66">
      <c r="A66" s="23" t="inlineStr">
        <is>
          <t>Услуги</t>
        </is>
      </c>
      <c r="B66" s="7" t="inlineStr">
        <is>
          <t>Великий Новгород, Донецкий район, Студенческая ул., 20</t>
        </is>
      </c>
      <c r="C66" s="24">
        <f>HYPERLINK("https://www.avito.ru/velikiy_novgorod/uslugi/priem_loma_priem_tsvetnogo_loma_priem_chermeta_8023655536","8023655536")</f>
        <v/>
      </c>
      <c r="D66" s="24" t="inlineStr">
        <is>
          <t>Цветмет</t>
        </is>
      </c>
      <c r="E66" s="25" t="n">
        <v>15</v>
      </c>
      <c r="F66" s="25" t="n">
        <v>0</v>
      </c>
      <c r="G66" s="26" t="n">
        <v>0</v>
      </c>
      <c r="H66" s="24" t="n">
        <v>0</v>
      </c>
      <c r="I66" s="24" t="n">
        <v>0</v>
      </c>
      <c r="J66" s="27" t="n">
        <v>0</v>
      </c>
      <c r="K66" s="28" t="n">
        <v>71.40000000000001</v>
      </c>
    </row>
    <row r="67">
      <c r="A67" s="23" t="inlineStr">
        <is>
          <t>Услуги</t>
        </is>
      </c>
      <c r="B67" s="7" t="inlineStr">
        <is>
          <t>Санкт-Петербург, 2 линия – Московско-Петроградская</t>
        </is>
      </c>
      <c r="C67" s="24">
        <f>HYPERLINK("https://www.avito.ru/sankt-peterburg/uslugi/sdat_olovyannyy_pripoy_sdat_olovo_7703399321","7703399321")</f>
        <v/>
      </c>
      <c r="D67" s="24" t="inlineStr">
        <is>
          <t>РЗМ</t>
        </is>
      </c>
      <c r="E67" s="25" t="n">
        <v>14</v>
      </c>
      <c r="F67" s="25" t="n">
        <v>1</v>
      </c>
      <c r="G67" s="26" t="n">
        <v>0.07140000000000001</v>
      </c>
      <c r="H67" s="24" t="n">
        <v>1</v>
      </c>
      <c r="I67" s="24" t="n">
        <v>0</v>
      </c>
      <c r="J67" s="27" t="n">
        <v>244.8</v>
      </c>
      <c r="K67" s="28" t="n">
        <v>244.8</v>
      </c>
    </row>
    <row r="68">
      <c r="A68" s="23" t="inlineStr">
        <is>
          <t>Услуги</t>
        </is>
      </c>
      <c r="B68" s="7" t="inlineStr">
        <is>
          <t>Невель, ул. Урицкого, 116</t>
        </is>
      </c>
      <c r="C68" s="24">
        <f>HYPERLINK("https://www.avito.ru/nevel/uslugi/priem_metalloloma_vyvoz_metalloloma_8023260930","8023260930")</f>
        <v/>
      </c>
      <c r="D68" s="24" t="inlineStr">
        <is>
          <t>Общее</t>
        </is>
      </c>
      <c r="E68" s="25" t="n">
        <v>14</v>
      </c>
      <c r="F68" s="25" t="n">
        <v>0</v>
      </c>
      <c r="G68" s="26" t="n">
        <v>0</v>
      </c>
      <c r="H68" s="24" t="n">
        <v>0</v>
      </c>
      <c r="I68" s="24" t="n">
        <v>0</v>
      </c>
      <c r="J68" s="27" t="n">
        <v>0</v>
      </c>
      <c r="K68" s="28" t="n">
        <v>66.3</v>
      </c>
    </row>
    <row r="69">
      <c r="A69" s="23" t="inlineStr">
        <is>
          <t>Услуги</t>
        </is>
      </c>
      <c r="B69" s="7" t="inlineStr">
        <is>
          <t>Новодвинск, ул. Фронтовых Бригад, 12</t>
        </is>
      </c>
      <c r="C69" s="24">
        <f>HYPERLINK("https://www.avito.ru/novodvinsk/uslugi/priem_metalloloma_priem_chernogo_loma_8023712712","8023712712")</f>
        <v/>
      </c>
      <c r="D69" s="24" t="inlineStr">
        <is>
          <t>Чермет</t>
        </is>
      </c>
      <c r="E69" s="25" t="n">
        <v>14</v>
      </c>
      <c r="F69" s="25" t="n">
        <v>0</v>
      </c>
      <c r="G69" s="26" t="n">
        <v>0</v>
      </c>
      <c r="H69" s="24" t="n">
        <v>0</v>
      </c>
      <c r="I69" s="24" t="n">
        <v>0</v>
      </c>
      <c r="J69" s="27" t="n">
        <v>0</v>
      </c>
      <c r="K69" s="28" t="n">
        <v>66.3</v>
      </c>
    </row>
    <row r="70">
      <c r="A70" s="23" t="inlineStr">
        <is>
          <t>Услуги</t>
        </is>
      </c>
      <c r="B70" s="7" t="inlineStr">
        <is>
          <t>Санкт-Петербург, пр-т Просвещения, 19</t>
        </is>
      </c>
      <c r="C70" s="24">
        <f>HYPERLINK("https://www.avito.ru/sankt-peterburg/uslugi/priem_metalloloma_skupka_metalla_8023361448","8023361448")</f>
        <v/>
      </c>
      <c r="D70" s="24" t="inlineStr">
        <is>
          <t>Общее</t>
        </is>
      </c>
      <c r="E70" s="25" t="n">
        <v>13</v>
      </c>
      <c r="F70" s="25" t="n">
        <v>0</v>
      </c>
      <c r="G70" s="26" t="n">
        <v>0</v>
      </c>
      <c r="H70" s="24" t="n">
        <v>0</v>
      </c>
      <c r="I70" s="24" t="n">
        <v>0</v>
      </c>
      <c r="J70" s="27" t="n">
        <v>0</v>
      </c>
      <c r="K70" s="28" t="n">
        <v>224.4</v>
      </c>
    </row>
    <row r="71">
      <c r="A71" s="23" t="inlineStr">
        <is>
          <t>Услуги</t>
        </is>
      </c>
      <c r="B71" s="7" t="inlineStr">
        <is>
          <t>Новодвинск, ул. Фронтовых Бригад, 12</t>
        </is>
      </c>
      <c r="C71" s="24">
        <f>HYPERLINK("https://www.avito.ru/novodvinsk/uslugi/priem_metalla_demontazh_priem_metalloloma_8023575004","8023575004")</f>
        <v/>
      </c>
      <c r="D71" s="24" t="inlineStr">
        <is>
          <t>Общее</t>
        </is>
      </c>
      <c r="E71" s="25" t="n">
        <v>13</v>
      </c>
      <c r="F71" s="25" t="n">
        <v>1</v>
      </c>
      <c r="G71" s="26" t="n">
        <v>0.0769</v>
      </c>
      <c r="H71" s="24" t="n">
        <v>0</v>
      </c>
      <c r="I71" s="24" t="n">
        <v>1</v>
      </c>
      <c r="J71" s="27" t="n">
        <v>66.3</v>
      </c>
      <c r="K71" s="28" t="n">
        <v>66.3</v>
      </c>
    </row>
    <row r="72">
      <c r="A72" s="23" t="inlineStr">
        <is>
          <t>Услуги</t>
        </is>
      </c>
      <c r="B72" s="7" t="inlineStr">
        <is>
          <t>Волхов, Новгородская ул., 7</t>
        </is>
      </c>
      <c r="C72" s="24">
        <f>HYPERLINK("https://www.avito.ru/volhov/uslugi/priem_metalloloma_priem_tsvetnogo_loma_8023852082","8023852082")</f>
        <v/>
      </c>
      <c r="D72" s="24" t="inlineStr">
        <is>
          <t>Цветмет</t>
        </is>
      </c>
      <c r="E72" s="25" t="n">
        <v>13</v>
      </c>
      <c r="F72" s="25" t="n">
        <v>0</v>
      </c>
      <c r="G72" s="26" t="n">
        <v>0</v>
      </c>
      <c r="H72" s="24" t="n">
        <v>0</v>
      </c>
      <c r="I72" s="24" t="n">
        <v>0</v>
      </c>
      <c r="J72" s="27" t="n">
        <v>0</v>
      </c>
      <c r="K72" s="28" t="n">
        <v>243.1</v>
      </c>
    </row>
    <row r="73">
      <c r="A73" s="23" t="inlineStr">
        <is>
          <t>Услуги</t>
        </is>
      </c>
      <c r="B73" s="7" t="inlineStr">
        <is>
          <t>Санкт-Петербург, ул. Одоевского, 29</t>
        </is>
      </c>
      <c r="C73" s="24">
        <f>HYPERLINK("https://www.avito.ru/sankt-peterburg/uslugi/sdat_babbit_olovo_redkiy_metall_7703458972","7703458972")</f>
        <v/>
      </c>
      <c r="D73" s="24" t="inlineStr">
        <is>
          <t>РЗМ</t>
        </is>
      </c>
      <c r="E73" s="25" t="n">
        <v>12</v>
      </c>
      <c r="F73" s="25" t="n">
        <v>0</v>
      </c>
      <c r="G73" s="26" t="n">
        <v>0</v>
      </c>
      <c r="H73" s="24" t="n">
        <v>0</v>
      </c>
      <c r="I73" s="24" t="n">
        <v>0</v>
      </c>
      <c r="J73" s="27" t="n">
        <v>0</v>
      </c>
      <c r="K73" s="28" t="n">
        <v>321.6</v>
      </c>
    </row>
    <row r="74">
      <c r="A74" s="23" t="inlineStr">
        <is>
          <t>Услуги</t>
        </is>
      </c>
      <c r="B74" s="7" t="inlineStr">
        <is>
          <t>Бабаево, Северная ул., 56</t>
        </is>
      </c>
      <c r="C74" s="24">
        <f>HYPERLINK("https://www.avito.ru/babaevo/uslugi/priem_metalloloma_priem_chernogo_loma_8023186929","8023186929")</f>
        <v/>
      </c>
      <c r="D74" s="24" t="inlineStr">
        <is>
          <t>Чермет</t>
        </is>
      </c>
      <c r="E74" s="25" t="n">
        <v>12</v>
      </c>
      <c r="F74" s="25" t="n">
        <v>1</v>
      </c>
      <c r="G74" s="26" t="n">
        <v>0.0833</v>
      </c>
      <c r="H74" s="24" t="n">
        <v>0</v>
      </c>
      <c r="I74" s="24" t="n">
        <v>1</v>
      </c>
      <c r="J74" s="27" t="n">
        <v>61.2</v>
      </c>
      <c r="K74" s="28" t="n">
        <v>61.2</v>
      </c>
    </row>
    <row r="75">
      <c r="A75" s="23" t="inlineStr">
        <is>
          <t>Услуги</t>
        </is>
      </c>
      <c r="B75" s="7" t="inlineStr">
        <is>
          <t>Великий Новгород, Донецкий район, Студенческая ул., 20</t>
        </is>
      </c>
      <c r="C75" s="24">
        <f>HYPERLINK("https://www.avito.ru/velikiy_novgorod/uslugi/priem_metalloloma_priem_tsvetnogo_loma_8023691050","8023691050")</f>
        <v/>
      </c>
      <c r="D75" s="24" t="inlineStr">
        <is>
          <t>Цветмет</t>
        </is>
      </c>
      <c r="E75" s="25" t="n">
        <v>12</v>
      </c>
      <c r="F75" s="25" t="n">
        <v>0</v>
      </c>
      <c r="G75" s="26" t="n">
        <v>0</v>
      </c>
      <c r="H75" s="24" t="n">
        <v>0</v>
      </c>
      <c r="I75" s="24" t="n">
        <v>0</v>
      </c>
      <c r="J75" s="27" t="n">
        <v>0</v>
      </c>
      <c r="K75" s="28" t="n">
        <v>61.2</v>
      </c>
    </row>
    <row r="76">
      <c r="A76" s="23" t="inlineStr">
        <is>
          <t>Услуги</t>
        </is>
      </c>
      <c r="B76" s="7" t="inlineStr">
        <is>
          <t>Череповец, Северное ш., 71А</t>
        </is>
      </c>
      <c r="C76" s="24">
        <f>HYPERLINK("https://www.avito.ru/cherepovets/uslugi/priem_metalloloma_skupka_metalla_8023232933","8023232933")</f>
        <v/>
      </c>
      <c r="D76" s="24" t="inlineStr">
        <is>
          <t>Общее</t>
        </is>
      </c>
      <c r="E76" s="25" t="n">
        <v>11</v>
      </c>
      <c r="F76" s="25" t="n">
        <v>3</v>
      </c>
      <c r="G76" s="26" t="n">
        <v>0.2727</v>
      </c>
      <c r="H76" s="24" t="n">
        <v>0</v>
      </c>
      <c r="I76" s="24" t="n">
        <v>3</v>
      </c>
      <c r="J76" s="27" t="n">
        <v>18.7</v>
      </c>
      <c r="K76" s="28" t="n">
        <v>56.1</v>
      </c>
    </row>
    <row r="77">
      <c r="A77" s="23" t="inlineStr">
        <is>
          <t>Услуги</t>
        </is>
      </c>
      <c r="B77" s="7" t="inlineStr">
        <is>
          <t>Сокол, Советская ул., 122Б</t>
        </is>
      </c>
      <c r="C77" s="24">
        <f>HYPERLINK("https://www.avito.ru/vologodskaya_oblast_sokol/uslugi/priem_metalloloma_demontazh_priem_metalla_8023572584","8023572584")</f>
        <v/>
      </c>
      <c r="D77" s="24" t="inlineStr">
        <is>
          <t>Общее</t>
        </is>
      </c>
      <c r="E77" s="25" t="n">
        <v>11</v>
      </c>
      <c r="F77" s="25" t="n">
        <v>1</v>
      </c>
      <c r="G77" s="26" t="n">
        <v>0.09089999999999999</v>
      </c>
      <c r="H77" s="24" t="n">
        <v>1</v>
      </c>
      <c r="I77" s="24" t="n">
        <v>0</v>
      </c>
      <c r="J77" s="27" t="n">
        <v>51</v>
      </c>
      <c r="K77" s="28" t="n">
        <v>51</v>
      </c>
    </row>
    <row r="78">
      <c r="A78" s="23" t="inlineStr">
        <is>
          <t>Услуги</t>
        </is>
      </c>
      <c r="B78" s="7" t="inlineStr">
        <is>
          <t>Архангельск, ул. Октябрят, 27к3</t>
        </is>
      </c>
      <c r="C78" s="24">
        <f>HYPERLINK("https://www.avito.ru/arhangelsk/uslugi/priem_tsvetnogo_metalloloma_8023675015","8023675015")</f>
        <v/>
      </c>
      <c r="D78" s="24" t="inlineStr">
        <is>
          <t>Цветмет</t>
        </is>
      </c>
      <c r="E78" s="25" t="n">
        <v>11</v>
      </c>
      <c r="F78" s="25" t="n">
        <v>0</v>
      </c>
      <c r="G78" s="26" t="n">
        <v>0</v>
      </c>
      <c r="H78" s="24" t="n">
        <v>0</v>
      </c>
      <c r="I78" s="24" t="n">
        <v>0</v>
      </c>
      <c r="J78" s="27" t="n">
        <v>0</v>
      </c>
      <c r="K78" s="28" t="n">
        <v>40.8</v>
      </c>
    </row>
    <row r="79">
      <c r="A79" s="23" t="inlineStr">
        <is>
          <t>Услуги</t>
        </is>
      </c>
      <c r="B79" s="7" t="inlineStr">
        <is>
          <t>д. Кипень, Ропшинское ш., 66</t>
        </is>
      </c>
      <c r="C79" s="24">
        <f>HYPERLINK("https://www.avito.ru/kipen/uslugi/priem_metalloloma_vyvoz_metalloloma_8023683930","8023683930")</f>
        <v/>
      </c>
      <c r="D79" s="24" t="inlineStr">
        <is>
          <t>Общее</t>
        </is>
      </c>
      <c r="E79" s="25" t="n">
        <v>11</v>
      </c>
      <c r="F79" s="25" t="n">
        <v>1</v>
      </c>
      <c r="G79" s="26" t="n">
        <v>0.09089999999999999</v>
      </c>
      <c r="H79" s="24" t="n">
        <v>0</v>
      </c>
      <c r="I79" s="24" t="n">
        <v>0</v>
      </c>
      <c r="J79" s="27" t="n">
        <v>168.3</v>
      </c>
      <c r="K79" s="28" t="n">
        <v>168.3</v>
      </c>
    </row>
    <row r="80">
      <c r="A80" s="23" t="inlineStr">
        <is>
          <t>Услуги</t>
        </is>
      </c>
      <c r="B80" s="7" t="inlineStr">
        <is>
          <t>Бокситогорск, Дымское ш., 1</t>
        </is>
      </c>
      <c r="C80" s="24">
        <f>HYPERLINK("https://www.avito.ru/boksitogorsk/uslugi/priem_tsvetnogo_metalloloma_8023801800","8023801800")</f>
        <v/>
      </c>
      <c r="D80" s="24" t="inlineStr">
        <is>
          <t>Цветмет</t>
        </is>
      </c>
      <c r="E80" s="25" t="n">
        <v>11</v>
      </c>
      <c r="F80" s="25" t="n">
        <v>0</v>
      </c>
      <c r="G80" s="26" t="n">
        <v>0</v>
      </c>
      <c r="H80" s="24" t="n">
        <v>0</v>
      </c>
      <c r="I80" s="24" t="n">
        <v>0</v>
      </c>
      <c r="J80" s="27" t="n">
        <v>0</v>
      </c>
      <c r="K80" s="28" t="n">
        <v>205.7</v>
      </c>
    </row>
    <row r="81">
      <c r="A81" s="23" t="inlineStr">
        <is>
          <t>Услуги</t>
        </is>
      </c>
      <c r="B81" s="7" t="inlineStr">
        <is>
          <t>Всеволожск, Лиственная ул., 16</t>
        </is>
      </c>
      <c r="C81" s="24">
        <f>HYPERLINK("https://www.avito.ru/vsevolozhsk/uslugi/priem_metalloloma_priem_chernogo_loma_8023893419","8023893419")</f>
        <v/>
      </c>
      <c r="D81" s="24" t="inlineStr">
        <is>
          <t>Чермет</t>
        </is>
      </c>
      <c r="E81" s="25" t="n">
        <v>11</v>
      </c>
      <c r="F81" s="25" t="n">
        <v>0</v>
      </c>
      <c r="G81" s="26" t="n">
        <v>0</v>
      </c>
      <c r="H81" s="24" t="n">
        <v>0</v>
      </c>
      <c r="I81" s="24" t="n">
        <v>0</v>
      </c>
      <c r="J81" s="27" t="n">
        <v>0</v>
      </c>
      <c r="K81" s="28" t="n">
        <v>168.3</v>
      </c>
    </row>
    <row r="82">
      <c r="A82" s="23" t="inlineStr">
        <is>
          <t>Услуги</t>
        </is>
      </c>
      <c r="B82" s="7" t="inlineStr">
        <is>
          <t>Кириши, ш. Энтузиастов, 6А</t>
        </is>
      </c>
      <c r="C82" s="24">
        <f>HYPERLINK("https://www.avito.ru/kirishi/uslugi/priem_loma_tsvetnyh_metallov_8023447065","8023447065")</f>
        <v/>
      </c>
      <c r="D82" s="24" t="inlineStr">
        <is>
          <t>Цветмет</t>
        </is>
      </c>
      <c r="E82" s="25" t="n">
        <v>10</v>
      </c>
      <c r="F82" s="25" t="n">
        <v>0</v>
      </c>
      <c r="G82" s="26" t="n">
        <v>0</v>
      </c>
      <c r="H82" s="24" t="n">
        <v>0</v>
      </c>
      <c r="I82" s="24" t="n">
        <v>0</v>
      </c>
      <c r="J82" s="27" t="n">
        <v>0</v>
      </c>
      <c r="K82" s="28" t="n">
        <v>168.3</v>
      </c>
    </row>
    <row r="83">
      <c r="A83" s="23" t="inlineStr">
        <is>
          <t>Услуги</t>
        </is>
      </c>
      <c r="B83" s="7" t="inlineStr">
        <is>
          <t>Бабаево, Северная ул., 56</t>
        </is>
      </c>
      <c r="C83" s="24">
        <f>HYPERLINK("https://www.avito.ru/babaevo/uslugi/priem_metalloloma_priem_tsvetnogo_loma_8023479683","8023479683")</f>
        <v/>
      </c>
      <c r="D83" s="24" t="inlineStr">
        <is>
          <t>Цветмет</t>
        </is>
      </c>
      <c r="E83" s="25" t="n">
        <v>10</v>
      </c>
      <c r="F83" s="25" t="n">
        <v>0</v>
      </c>
      <c r="G83" s="26" t="n">
        <v>0</v>
      </c>
      <c r="H83" s="24" t="n">
        <v>0</v>
      </c>
      <c r="I83" s="24" t="n">
        <v>0</v>
      </c>
      <c r="J83" s="27" t="n">
        <v>0</v>
      </c>
      <c r="K83" s="28" t="n">
        <v>45.9</v>
      </c>
    </row>
    <row r="84">
      <c r="A84" s="23" t="inlineStr">
        <is>
          <t>Услуги</t>
        </is>
      </c>
      <c r="B84" s="7" t="inlineStr">
        <is>
          <t>Санкт-Петербург, ул. Савушкина, 2</t>
        </is>
      </c>
      <c r="C84" s="24">
        <f>HYPERLINK("https://www.avito.ru/sankt-peterburg/uslugi/priem_metalla_sdat_lom_vyvoz_loma_8023505295","8023505295")</f>
        <v/>
      </c>
      <c r="D84" s="24" t="inlineStr">
        <is>
          <t>Общее</t>
        </is>
      </c>
      <c r="E84" s="25" t="n">
        <v>10</v>
      </c>
      <c r="F84" s="25" t="n">
        <v>0</v>
      </c>
      <c r="G84" s="26" t="n">
        <v>0</v>
      </c>
      <c r="H84" s="24" t="n">
        <v>0</v>
      </c>
      <c r="I84" s="24" t="n">
        <v>0</v>
      </c>
      <c r="J84" s="27" t="n">
        <v>0</v>
      </c>
      <c r="K84" s="28" t="n">
        <v>183.6</v>
      </c>
    </row>
    <row r="85">
      <c r="A85" s="23" t="inlineStr">
        <is>
          <t>Услуги</t>
        </is>
      </c>
      <c r="B85" s="7" t="inlineStr">
        <is>
          <t>Остров, ул. Карла Маркса, 90Б</t>
        </is>
      </c>
      <c r="C85" s="24">
        <f>HYPERLINK("https://www.avito.ru/ostrov/uslugi/priem_metalloloma_demontazh_vyvoz_metalla_8023553842","8023553842")</f>
        <v/>
      </c>
      <c r="D85" s="24" t="inlineStr">
        <is>
          <t>Общее</t>
        </is>
      </c>
      <c r="E85" s="25" t="n">
        <v>10</v>
      </c>
      <c r="F85" s="25" t="n">
        <v>0</v>
      </c>
      <c r="G85" s="26" t="n">
        <v>0</v>
      </c>
      <c r="H85" s="24" t="n">
        <v>0</v>
      </c>
      <c r="I85" s="24" t="n">
        <v>0</v>
      </c>
      <c r="J85" s="27" t="n">
        <v>0</v>
      </c>
      <c r="K85" s="28" t="n">
        <v>51</v>
      </c>
    </row>
    <row r="86">
      <c r="A86" s="23" t="inlineStr">
        <is>
          <t>Услуги</t>
        </is>
      </c>
      <c r="B86" s="7" t="inlineStr">
        <is>
          <t>Ивангород, Кингисеппское ш.</t>
        </is>
      </c>
      <c r="C86" s="24">
        <f>HYPERLINK("https://www.avito.ru/ivangorod/uslugi/priem_loma_tsvetnyh_metallov_8023847196","8023847196")</f>
        <v/>
      </c>
      <c r="D86" s="24" t="inlineStr">
        <is>
          <t>Цветмет</t>
        </is>
      </c>
      <c r="E86" s="25" t="n">
        <v>10</v>
      </c>
      <c r="F86" s="25" t="n">
        <v>0</v>
      </c>
      <c r="G86" s="26" t="n">
        <v>0</v>
      </c>
      <c r="H86" s="24" t="n">
        <v>0</v>
      </c>
      <c r="I86" s="24" t="n">
        <v>0</v>
      </c>
      <c r="J86" s="27" t="n">
        <v>0</v>
      </c>
      <c r="K86" s="28" t="n">
        <v>168.3</v>
      </c>
    </row>
    <row r="87">
      <c r="A87" s="23" t="inlineStr">
        <is>
          <t>Услуги</t>
        </is>
      </c>
      <c r="B87" s="7" t="inlineStr">
        <is>
          <t>Северодвинск, Ягринское ш., 2А</t>
        </is>
      </c>
      <c r="C87" s="24">
        <f>HYPERLINK("https://www.avito.ru/severodvinsk/uslugi/priem_metalloloma_priem_chernogo_loma_8023162232","8023162232")</f>
        <v/>
      </c>
      <c r="D87" s="24" t="inlineStr">
        <is>
          <t>Чермет</t>
        </is>
      </c>
      <c r="E87" s="25" t="n">
        <v>9</v>
      </c>
      <c r="F87" s="25" t="n">
        <v>1</v>
      </c>
      <c r="G87" s="26" t="n">
        <v>0.1111</v>
      </c>
      <c r="H87" s="24" t="n">
        <v>1</v>
      </c>
      <c r="I87" s="24" t="n">
        <v>0</v>
      </c>
      <c r="J87" s="27" t="n">
        <v>40.8</v>
      </c>
      <c r="K87" s="28" t="n">
        <v>40.8</v>
      </c>
    </row>
    <row r="88">
      <c r="A88" s="23" t="inlineStr">
        <is>
          <t>Услуги</t>
        </is>
      </c>
      <c r="B88" s="7" t="inlineStr">
        <is>
          <t>Санкт-Петербург, Центральный район, Кирпичный пер., 1</t>
        </is>
      </c>
      <c r="C88" s="24">
        <f>HYPERLINK("https://www.avito.ru/sankt-peterburg/uslugi/priem_metalla_demontazh_priem_metalloloma_8023306105","8023306105")</f>
        <v/>
      </c>
      <c r="D88" s="24" t="inlineStr">
        <is>
          <t>Общее</t>
        </is>
      </c>
      <c r="E88" s="25" t="n">
        <v>9</v>
      </c>
      <c r="F88" s="25" t="n">
        <v>2</v>
      </c>
      <c r="G88" s="26" t="n">
        <v>0.2222</v>
      </c>
      <c r="H88" s="24" t="n">
        <v>0</v>
      </c>
      <c r="I88" s="24" t="n">
        <v>2</v>
      </c>
      <c r="J88" s="27" t="n">
        <v>313.1</v>
      </c>
      <c r="K88" s="28" t="n">
        <v>626.2</v>
      </c>
    </row>
    <row r="89">
      <c r="A89" s="23" t="inlineStr">
        <is>
          <t>Услуги</t>
        </is>
      </c>
      <c r="B89" s="7" t="inlineStr">
        <is>
          <t>пос. Коммунары, Центральная ул.</t>
        </is>
      </c>
      <c r="C89" s="24">
        <f>HYPERLINK("https://www.avito.ru/kommynary/uslugi/priem_metalloloma_priem_chernogo_loma_8023020949","8023020949")</f>
        <v/>
      </c>
      <c r="D89" s="24" t="inlineStr">
        <is>
          <t>Чермет</t>
        </is>
      </c>
      <c r="E89" s="25" t="n">
        <v>8</v>
      </c>
      <c r="F89" s="25" t="n">
        <v>0</v>
      </c>
      <c r="G89" s="26" t="n">
        <v>0</v>
      </c>
      <c r="H89" s="24" t="n">
        <v>0</v>
      </c>
      <c r="I89" s="24" t="n">
        <v>0</v>
      </c>
      <c r="J89" s="27" t="n">
        <v>0</v>
      </c>
      <c r="K89" s="28" t="n">
        <v>149.6</v>
      </c>
    </row>
    <row r="90">
      <c r="A90" s="23" t="inlineStr">
        <is>
          <t>Услуги</t>
        </is>
      </c>
      <c r="B90" s="7" t="inlineStr">
        <is>
          <t>Санкт-Петербург, б-р Новаторов, 73к4А</t>
        </is>
      </c>
      <c r="C90" s="24">
        <f>HYPERLINK("https://www.avito.ru/sankt-peterburg/uslugi/priem_metalloloma_demontazh_vyvoz_metalla_8023096314","8023096314")</f>
        <v/>
      </c>
      <c r="D90" s="24" t="inlineStr">
        <is>
          <t>Общее</t>
        </is>
      </c>
      <c r="E90" s="25" t="n">
        <v>8</v>
      </c>
      <c r="F90" s="25" t="n">
        <v>1</v>
      </c>
      <c r="G90" s="26" t="n">
        <v>0.125</v>
      </c>
      <c r="H90" s="24" t="n">
        <v>0</v>
      </c>
      <c r="I90" s="24" t="n">
        <v>1</v>
      </c>
      <c r="J90" s="27" t="n">
        <v>163.2</v>
      </c>
      <c r="K90" s="28" t="n">
        <v>163.2</v>
      </c>
    </row>
    <row r="91">
      <c r="A91" s="23" t="inlineStr">
        <is>
          <t>Услуги</t>
        </is>
      </c>
      <c r="B91" s="7" t="inlineStr">
        <is>
          <t>Сосновый Бор, Ракопежское ш., 32</t>
        </is>
      </c>
      <c r="C91" s="24">
        <f>HYPERLINK("https://www.avito.ru/leningradskaya_oblast_sosnovyy_bor/uslugi/priem_metalloloma_priem_chernogo_loma_8023257260","8023257260")</f>
        <v/>
      </c>
      <c r="D91" s="24" t="inlineStr">
        <is>
          <t>Чермет</t>
        </is>
      </c>
      <c r="E91" s="25" t="n">
        <v>8</v>
      </c>
      <c r="F91" s="25" t="n">
        <v>0</v>
      </c>
      <c r="G91" s="26" t="n">
        <v>0</v>
      </c>
      <c r="H91" s="24" t="n">
        <v>0</v>
      </c>
      <c r="I91" s="24" t="n">
        <v>0</v>
      </c>
      <c r="J91" s="27" t="n">
        <v>0</v>
      </c>
      <c r="K91" s="28" t="n">
        <v>93.5</v>
      </c>
    </row>
    <row r="92">
      <c r="A92" s="23" t="inlineStr">
        <is>
          <t>Услуги</t>
        </is>
      </c>
      <c r="B92" s="7" t="inlineStr">
        <is>
          <t>Тосно, Октябрьская ул., 125Л</t>
        </is>
      </c>
      <c r="C92" s="24">
        <f>HYPERLINK("https://www.avito.ru/tosno/uslugi/priem_metalloloma_priem_chernogo_loma_8023523582","8023523582")</f>
        <v/>
      </c>
      <c r="D92" s="24" t="inlineStr">
        <is>
          <t>Чермет</t>
        </is>
      </c>
      <c r="E92" s="25" t="n">
        <v>8</v>
      </c>
      <c r="F92" s="25" t="n">
        <v>1</v>
      </c>
      <c r="G92" s="26" t="n">
        <v>0.125</v>
      </c>
      <c r="H92" s="24" t="n">
        <v>1</v>
      </c>
      <c r="I92" s="24" t="n">
        <v>0</v>
      </c>
      <c r="J92" s="27" t="n">
        <v>130.9</v>
      </c>
      <c r="K92" s="28" t="n">
        <v>130.9</v>
      </c>
    </row>
    <row r="93">
      <c r="A93" s="23" t="inlineStr">
        <is>
          <t>Услуги</t>
        </is>
      </c>
      <c r="B93" s="7" t="inlineStr">
        <is>
          <t>Луга, Старорусская ул., 13Г</t>
        </is>
      </c>
      <c r="C93" s="24">
        <f>HYPERLINK("https://www.avito.ru/luga/uslugi/priem_metalloloma_priem_loma_demontazh_8023531222","8023531222")</f>
        <v/>
      </c>
      <c r="D93" s="24" t="inlineStr">
        <is>
          <t>Общее</t>
        </is>
      </c>
      <c r="E93" s="25" t="n">
        <v>8</v>
      </c>
      <c r="F93" s="25" t="n">
        <v>0</v>
      </c>
      <c r="G93" s="26" t="n">
        <v>0</v>
      </c>
      <c r="H93" s="24" t="n">
        <v>0</v>
      </c>
      <c r="I93" s="24" t="n">
        <v>0</v>
      </c>
      <c r="J93" s="27" t="n">
        <v>0</v>
      </c>
      <c r="K93" s="28" t="n">
        <v>149.6</v>
      </c>
    </row>
    <row r="94">
      <c r="A94" s="23" t="inlineStr">
        <is>
          <t>Услуги</t>
        </is>
      </c>
      <c r="B94" s="7" t="inlineStr">
        <is>
          <t>Грязовец, ул. Волкова, 11/2</t>
        </is>
      </c>
      <c r="C94" s="24">
        <f>HYPERLINK("https://www.avito.ru/gryazovets/uslugi/priem_tsvetnogo_metalloloma_8023774238","8023774238")</f>
        <v/>
      </c>
      <c r="D94" s="24" t="inlineStr">
        <is>
          <t>Цветмет</t>
        </is>
      </c>
      <c r="E94" s="25" t="n">
        <v>8</v>
      </c>
      <c r="F94" s="25" t="n">
        <v>0</v>
      </c>
      <c r="G94" s="26" t="n">
        <v>0</v>
      </c>
      <c r="H94" s="24" t="n">
        <v>0</v>
      </c>
      <c r="I94" s="24" t="n">
        <v>0</v>
      </c>
      <c r="J94" s="27" t="n">
        <v>0</v>
      </c>
      <c r="K94" s="28" t="n">
        <v>40.8</v>
      </c>
    </row>
    <row r="95">
      <c r="A95" s="23" t="inlineStr">
        <is>
          <t>Услуги</t>
        </is>
      </c>
      <c r="B95" s="7" t="inlineStr">
        <is>
          <t>Сланцы, Сланцевское ш., 32Б</t>
        </is>
      </c>
      <c r="C95" s="24">
        <f>HYPERLINK("https://www.avito.ru/slantsy/uslugi/priem_i_vyvoz_metalloloma_sdat_lom_8023825946","8023825946")</f>
        <v/>
      </c>
      <c r="D95" s="24" t="inlineStr">
        <is>
          <t>Общее</t>
        </is>
      </c>
      <c r="E95" s="25" t="n">
        <v>8</v>
      </c>
      <c r="F95" s="25" t="n">
        <v>0</v>
      </c>
      <c r="G95" s="26" t="n">
        <v>0</v>
      </c>
      <c r="H95" s="24" t="n">
        <v>0</v>
      </c>
      <c r="I95" s="24" t="n">
        <v>0</v>
      </c>
      <c r="J95" s="27" t="n">
        <v>0</v>
      </c>
      <c r="K95" s="28" t="n">
        <v>130.9</v>
      </c>
    </row>
    <row r="96">
      <c r="A96" s="23" t="inlineStr">
        <is>
          <t>Услуги</t>
        </is>
      </c>
      <c r="B96" s="7" t="inlineStr">
        <is>
          <t>рп. Кадуй, Советская ул., 3</t>
        </is>
      </c>
      <c r="C96" s="24">
        <f>HYPERLINK("https://www.avito.ru/kaduy/uslugi/priem_metalloloma_priem_chernogo_loma_8022914664","8022914664")</f>
        <v/>
      </c>
      <c r="D96" s="24" t="inlineStr">
        <is>
          <t>Чермет</t>
        </is>
      </c>
      <c r="E96" s="25" t="n">
        <v>7</v>
      </c>
      <c r="F96" s="25" t="n">
        <v>0</v>
      </c>
      <c r="G96" s="26" t="n">
        <v>0</v>
      </c>
      <c r="H96" s="24" t="n">
        <v>0</v>
      </c>
      <c r="I96" s="24" t="n">
        <v>0</v>
      </c>
      <c r="J96" s="27" t="n">
        <v>0</v>
      </c>
      <c r="K96" s="28" t="n">
        <v>35.7</v>
      </c>
    </row>
    <row r="97">
      <c r="A97" s="23" t="inlineStr">
        <is>
          <t>Услуги</t>
        </is>
      </c>
      <c r="B97" s="7" t="inlineStr">
        <is>
          <t>Санкт-Петербург, пр-т Стачек, 70</t>
        </is>
      </c>
      <c r="C97" s="24">
        <f>HYPERLINK("https://www.avito.ru/sankt-peterburg/uslugi/priem_metalla_sdat_lom_vyvoz_loma_8022960985","8022960985")</f>
        <v/>
      </c>
      <c r="D97" s="24" t="inlineStr">
        <is>
          <t>Общее</t>
        </is>
      </c>
      <c r="E97" s="25" t="n">
        <v>7</v>
      </c>
      <c r="F97" s="25" t="n">
        <v>0</v>
      </c>
      <c r="G97" s="26" t="n">
        <v>0</v>
      </c>
      <c r="H97" s="24" t="n">
        <v>0</v>
      </c>
      <c r="I97" s="24" t="n">
        <v>0</v>
      </c>
      <c r="J97" s="27" t="n">
        <v>0</v>
      </c>
      <c r="K97" s="28" t="n">
        <v>142.8</v>
      </c>
    </row>
    <row r="98">
      <c r="A98" s="23" t="inlineStr">
        <is>
          <t>Услуги</t>
        </is>
      </c>
      <c r="B98" s="7" t="inlineStr">
        <is>
          <t>Невель, ул. Урицкого, 116</t>
        </is>
      </c>
      <c r="C98" s="24">
        <f>HYPERLINK("https://www.avito.ru/nevel/uslugi/priem_metalloloma_priem_tsvetnogo_loma_8022976531","8022976531")</f>
        <v/>
      </c>
      <c r="D98" s="24" t="inlineStr">
        <is>
          <t>Цветмет</t>
        </is>
      </c>
      <c r="E98" s="25" t="n">
        <v>7</v>
      </c>
      <c r="F98" s="25" t="n">
        <v>0</v>
      </c>
      <c r="G98" s="26" t="n">
        <v>0</v>
      </c>
      <c r="H98" s="24" t="n">
        <v>0</v>
      </c>
      <c r="I98" s="24" t="n">
        <v>0</v>
      </c>
      <c r="J98" s="27" t="n">
        <v>0</v>
      </c>
      <c r="K98" s="28" t="n">
        <v>35.7</v>
      </c>
    </row>
    <row r="99">
      <c r="A99" s="23" t="inlineStr">
        <is>
          <t>Услуги</t>
        </is>
      </c>
      <c r="B99" s="7" t="inlineStr">
        <is>
          <t>Вологда, ул. Чернышевского, 141А</t>
        </is>
      </c>
      <c r="C99" s="24">
        <f>HYPERLINK("https://www.avito.ru/vologda/uslugi/priem_metalloloma_demontazh_vyvoz_metalla_8023240033","8023240033")</f>
        <v/>
      </c>
      <c r="D99" s="24" t="inlineStr">
        <is>
          <t>Общее</t>
        </is>
      </c>
      <c r="E99" s="25" t="n">
        <v>7</v>
      </c>
      <c r="F99" s="25" t="n">
        <v>0</v>
      </c>
      <c r="G99" s="26" t="n">
        <v>0</v>
      </c>
      <c r="H99" s="24" t="n">
        <v>0</v>
      </c>
      <c r="I99" s="24" t="n">
        <v>0</v>
      </c>
      <c r="J99" s="27" t="n">
        <v>0</v>
      </c>
      <c r="K99" s="28" t="n">
        <v>35.7</v>
      </c>
    </row>
    <row r="100">
      <c r="A100" s="23" t="inlineStr">
        <is>
          <t>Услуги</t>
        </is>
      </c>
      <c r="B100" s="7" t="inlineStr">
        <is>
          <t>Вытегра, Вологодская ул., 1</t>
        </is>
      </c>
      <c r="C100" s="24">
        <f>HYPERLINK("https://www.avito.ru/vytegra/uslugi/priem_metalloloma_priem_chernogo_loma_opt_8023402845","8023402845")</f>
        <v/>
      </c>
      <c r="D100" s="24" t="inlineStr">
        <is>
          <t>Чермет</t>
        </is>
      </c>
      <c r="E100" s="25" t="n">
        <v>7</v>
      </c>
      <c r="F100" s="25" t="n">
        <v>0</v>
      </c>
      <c r="G100" s="26" t="n">
        <v>0</v>
      </c>
      <c r="H100" s="24" t="n">
        <v>0</v>
      </c>
      <c r="I100" s="24" t="n">
        <v>0</v>
      </c>
      <c r="J100" s="27" t="n">
        <v>0</v>
      </c>
      <c r="K100" s="28" t="n">
        <v>35.7</v>
      </c>
    </row>
    <row r="101">
      <c r="A101" s="23" t="inlineStr">
        <is>
          <t>Услуги</t>
        </is>
      </c>
      <c r="B101" s="7" t="inlineStr">
        <is>
          <t>Малая Вишера</t>
        </is>
      </c>
      <c r="C101" s="24">
        <f>HYPERLINK("https://www.avito.ru/malaya_vishera/uslugi/priem_tsvetnogo_metalloloma_8023493224","8023493224")</f>
        <v/>
      </c>
      <c r="D101" s="24" t="inlineStr">
        <is>
          <t>Цветмет</t>
        </is>
      </c>
      <c r="E101" s="25" t="n">
        <v>7</v>
      </c>
      <c r="F101" s="25" t="n">
        <v>0</v>
      </c>
      <c r="G101" s="26" t="n">
        <v>0</v>
      </c>
      <c r="H101" s="24" t="n">
        <v>0</v>
      </c>
      <c r="I101" s="24" t="n">
        <v>0</v>
      </c>
      <c r="J101" s="27" t="n">
        <v>0</v>
      </c>
      <c r="K101" s="28" t="n">
        <v>35.7</v>
      </c>
    </row>
    <row r="102">
      <c r="A102" s="23" t="inlineStr">
        <is>
          <t>Услуги</t>
        </is>
      </c>
      <c r="B102" s="7" t="inlineStr">
        <is>
          <t>рп. Кадуй, Советская ул., 3</t>
        </is>
      </c>
      <c r="C102" s="24">
        <f>HYPERLINK("https://www.avito.ru/kaduy/uslugi/priem_loma_tsvetnyh_metallov_8023564698","8023564698")</f>
        <v/>
      </c>
      <c r="D102" s="24" t="inlineStr">
        <is>
          <t>Цветмет</t>
        </is>
      </c>
      <c r="E102" s="25" t="n">
        <v>7</v>
      </c>
      <c r="F102" s="25" t="n">
        <v>0</v>
      </c>
      <c r="G102" s="26" t="n">
        <v>0</v>
      </c>
      <c r="H102" s="24" t="n">
        <v>0</v>
      </c>
      <c r="I102" s="24" t="n">
        <v>0</v>
      </c>
      <c r="J102" s="27" t="n">
        <v>0</v>
      </c>
      <c r="K102" s="28" t="n">
        <v>35.7</v>
      </c>
    </row>
    <row r="103">
      <c r="A103" s="23" t="inlineStr">
        <is>
          <t>Услуги</t>
        </is>
      </c>
      <c r="B103" s="7" t="inlineStr">
        <is>
          <t>Санкт-Петербург, ул. Смолячкова, 21</t>
        </is>
      </c>
      <c r="C103" s="24">
        <f>HYPERLINK("https://www.avito.ru/sankt-peterburg/uslugi/priem_metalloloma_priem_loma_demontazh_8023567066","8023567066")</f>
        <v/>
      </c>
      <c r="D103" s="24" t="inlineStr">
        <is>
          <t>Общее</t>
        </is>
      </c>
      <c r="E103" s="25" t="n">
        <v>7</v>
      </c>
      <c r="F103" s="25" t="n">
        <v>1</v>
      </c>
      <c r="G103" s="26" t="n">
        <v>0.1428</v>
      </c>
      <c r="H103" s="24" t="n">
        <v>0</v>
      </c>
      <c r="I103" s="24" t="n">
        <v>1</v>
      </c>
      <c r="J103" s="27" t="n">
        <v>142.8</v>
      </c>
      <c r="K103" s="28" t="n">
        <v>142.8</v>
      </c>
    </row>
    <row r="104">
      <c r="A104" s="23" t="inlineStr">
        <is>
          <t>Услуги</t>
        </is>
      </c>
      <c r="B104" s="7" t="inlineStr">
        <is>
          <t>Чудово, ул. Губина, 1В</t>
        </is>
      </c>
      <c r="C104" s="24">
        <f>HYPERLINK("https://www.avito.ru/chudovo/uslugi/priem_metalloloma_priem_chernogo_loma_opt_8023682037","8023682037")</f>
        <v/>
      </c>
      <c r="D104" s="24" t="inlineStr">
        <is>
          <t>Чермет</t>
        </is>
      </c>
      <c r="E104" s="25" t="n">
        <v>7</v>
      </c>
      <c r="F104" s="25" t="n">
        <v>0</v>
      </c>
      <c r="G104" s="26" t="n">
        <v>0</v>
      </c>
      <c r="H104" s="24" t="n">
        <v>0</v>
      </c>
      <c r="I104" s="24" t="n">
        <v>0</v>
      </c>
      <c r="J104" s="27" t="n">
        <v>0</v>
      </c>
      <c r="K104" s="28" t="n">
        <v>35.7</v>
      </c>
    </row>
    <row r="105">
      <c r="A105" s="23" t="inlineStr">
        <is>
          <t>Услуги</t>
        </is>
      </c>
      <c r="B105" s="7" t="inlineStr">
        <is>
          <t>Санкт-Петербург, ул. Дыбенко, 26</t>
        </is>
      </c>
      <c r="C105" s="24">
        <f>HYPERLINK("https://www.avito.ru/sankt-peterburg/uslugi/priem_loma_priem_tsvetnogo_loma_priem_chermeta_8023815080","8023815080")</f>
        <v/>
      </c>
      <c r="D105" s="24" t="inlineStr">
        <is>
          <t>Цветмет</t>
        </is>
      </c>
      <c r="E105" s="25" t="n">
        <v>7</v>
      </c>
      <c r="F105" s="25" t="n">
        <v>0</v>
      </c>
      <c r="G105" s="26" t="n">
        <v>0</v>
      </c>
      <c r="H105" s="24" t="n">
        <v>0</v>
      </c>
      <c r="I105" s="24" t="n">
        <v>0</v>
      </c>
      <c r="J105" s="27" t="n">
        <v>0</v>
      </c>
      <c r="K105" s="28" t="n">
        <v>142.8</v>
      </c>
    </row>
    <row r="106">
      <c r="A106" s="23" t="inlineStr">
        <is>
          <t>Услуги</t>
        </is>
      </c>
      <c r="B106" s="7" t="inlineStr">
        <is>
          <t>Новодвинск, ул. Фронтовых Бригад, 12</t>
        </is>
      </c>
      <c r="C106" s="24">
        <f>HYPERLINK("https://www.avito.ru/novodvinsk/uslugi/priem_loma_tsvetnyh_metallov_8023897028","8023897028")</f>
        <v/>
      </c>
      <c r="D106" s="24" t="inlineStr">
        <is>
          <t>Цветмет</t>
        </is>
      </c>
      <c r="E106" s="25" t="n">
        <v>7</v>
      </c>
      <c r="F106" s="25" t="n">
        <v>0</v>
      </c>
      <c r="G106" s="26" t="n">
        <v>0</v>
      </c>
      <c r="H106" s="24" t="n">
        <v>0</v>
      </c>
      <c r="I106" s="24" t="n">
        <v>0</v>
      </c>
      <c r="J106" s="27" t="n">
        <v>0</v>
      </c>
      <c r="K106" s="28" t="n">
        <v>25.5</v>
      </c>
    </row>
    <row r="107">
      <c r="A107" s="23" t="inlineStr">
        <is>
          <t>Услуги</t>
        </is>
      </c>
      <c r="B107" s="7" t="inlineStr">
        <is>
          <t>Санкт-Петербург, пр-т Энгельса, 162Р</t>
        </is>
      </c>
      <c r="C107" s="24">
        <f>HYPERLINK("https://www.avito.ru/sankt-peterburg/uslugi/priem_metalla_sdat_lom_vyvoz_loma_8023184338","8023184338")</f>
        <v/>
      </c>
      <c r="D107" s="24" t="inlineStr">
        <is>
          <t>Общее</t>
        </is>
      </c>
      <c r="E107" s="25" t="n">
        <v>6</v>
      </c>
      <c r="F107" s="25" t="n">
        <v>0</v>
      </c>
      <c r="G107" s="26" t="n">
        <v>0</v>
      </c>
      <c r="H107" s="24" t="n">
        <v>0</v>
      </c>
      <c r="I107" s="24" t="n">
        <v>0</v>
      </c>
      <c r="J107" s="27" t="n">
        <v>0</v>
      </c>
      <c r="K107" s="28" t="n">
        <v>122.4</v>
      </c>
    </row>
    <row r="108">
      <c r="A108" s="23" t="inlineStr">
        <is>
          <t>Услуги</t>
        </is>
      </c>
      <c r="B108" s="7" t="inlineStr">
        <is>
          <t>Архангельск, ул. Октябрят, 27к3</t>
        </is>
      </c>
      <c r="C108" s="24">
        <f>HYPERLINK("https://www.avito.ru/arhangelsk/uslugi/priem_metalloloma_priem_chernogo_loma_opt_8023193315","8023193315")</f>
        <v/>
      </c>
      <c r="D108" s="24" t="inlineStr">
        <is>
          <t>Чермет</t>
        </is>
      </c>
      <c r="E108" s="25" t="n">
        <v>6</v>
      </c>
      <c r="F108" s="25" t="n">
        <v>1</v>
      </c>
      <c r="G108" s="26" t="n">
        <v>0.1666</v>
      </c>
      <c r="H108" s="24" t="n">
        <v>0</v>
      </c>
      <c r="I108" s="24" t="n">
        <v>1</v>
      </c>
      <c r="J108" s="27" t="n">
        <v>30.6</v>
      </c>
      <c r="K108" s="28" t="n">
        <v>30.6</v>
      </c>
    </row>
    <row r="109">
      <c r="A109" s="23" t="inlineStr">
        <is>
          <t>Услуги</t>
        </is>
      </c>
      <c r="B109" s="7" t="inlineStr">
        <is>
          <t>Лодейное Поле</t>
        </is>
      </c>
      <c r="C109" s="24">
        <f>HYPERLINK("https://www.avito.ru/lodeynoe_pole/uslugi/priem_tsvetnogo_metalloloma_8023636668","8023636668")</f>
        <v/>
      </c>
      <c r="D109" s="24" t="inlineStr">
        <is>
          <t>Цветмет</t>
        </is>
      </c>
      <c r="E109" s="25" t="n">
        <v>6</v>
      </c>
      <c r="F109" s="25" t="n">
        <v>0</v>
      </c>
      <c r="G109" s="26" t="n">
        <v>0</v>
      </c>
      <c r="H109" s="24" t="n">
        <v>0</v>
      </c>
      <c r="I109" s="24" t="n">
        <v>0</v>
      </c>
      <c r="J109" s="27" t="n">
        <v>0</v>
      </c>
      <c r="K109" s="28" t="n">
        <v>112.2</v>
      </c>
    </row>
    <row r="110">
      <c r="A110" s="23" t="inlineStr">
        <is>
          <t>Услуги</t>
        </is>
      </c>
      <c r="B110" s="7" t="inlineStr">
        <is>
          <t>д. Оржицы</t>
        </is>
      </c>
      <c r="C110" s="24">
        <f>HYPERLINK("https://www.avito.ru/gostilitsy/uslugi/priem_metalloloma_priem_chernogo_loma_opt_8023701510","8023701510")</f>
        <v/>
      </c>
      <c r="D110" s="24" t="inlineStr">
        <is>
          <t>Чермет</t>
        </is>
      </c>
      <c r="E110" s="25" t="n">
        <v>6</v>
      </c>
      <c r="F110" s="25" t="n">
        <v>0</v>
      </c>
      <c r="G110" s="26" t="n">
        <v>0</v>
      </c>
      <c r="H110" s="24" t="n">
        <v>0</v>
      </c>
      <c r="I110" s="24" t="n">
        <v>0</v>
      </c>
      <c r="J110" s="27" t="n">
        <v>0</v>
      </c>
      <c r="K110" s="28" t="n">
        <v>112.2</v>
      </c>
    </row>
    <row r="111">
      <c r="A111" s="23" t="inlineStr">
        <is>
          <t>Услуги</t>
        </is>
      </c>
      <c r="B111" s="7" t="inlineStr">
        <is>
          <t>Сертолово, Песочная ул., 8к1</t>
        </is>
      </c>
      <c r="C111" s="24">
        <f>HYPERLINK("https://www.avito.ru/sertolovo/uslugi/priem_tsvetnogo_metalloloma_8023705532","8023705532")</f>
        <v/>
      </c>
      <c r="D111" s="24" t="inlineStr">
        <is>
          <t>Цветмет</t>
        </is>
      </c>
      <c r="E111" s="25" t="n">
        <v>6</v>
      </c>
      <c r="F111" s="25" t="n">
        <v>0</v>
      </c>
      <c r="G111" s="26" t="n">
        <v>0</v>
      </c>
      <c r="H111" s="24" t="n">
        <v>0</v>
      </c>
      <c r="I111" s="24" t="n">
        <v>0</v>
      </c>
      <c r="J111" s="27" t="n">
        <v>0</v>
      </c>
      <c r="K111" s="28" t="n">
        <v>112.2</v>
      </c>
    </row>
    <row r="112">
      <c r="A112" s="23" t="inlineStr">
        <is>
          <t>Услуги</t>
        </is>
      </c>
      <c r="B112" s="7" t="inlineStr">
        <is>
          <t>Старая Русса, ул. Кириллова</t>
        </is>
      </c>
      <c r="C112" s="24">
        <f>HYPERLINK("https://www.avito.ru/staraya_russa/uslugi/priem_i_vyvoz_metalloloma_sdat_lom_8023717938","8023717938")</f>
        <v/>
      </c>
      <c r="D112" s="24" t="inlineStr">
        <is>
          <t>Общее</t>
        </is>
      </c>
      <c r="E112" s="25" t="n">
        <v>6</v>
      </c>
      <c r="F112" s="25" t="n">
        <v>0</v>
      </c>
      <c r="G112" s="26" t="n">
        <v>0</v>
      </c>
      <c r="H112" s="24" t="n">
        <v>0</v>
      </c>
      <c r="I112" s="24" t="n">
        <v>0</v>
      </c>
      <c r="J112" s="27" t="n">
        <v>0</v>
      </c>
      <c r="K112" s="28" t="n">
        <v>30.6</v>
      </c>
    </row>
    <row r="113">
      <c r="A113" s="23" t="inlineStr">
        <is>
          <t>Услуги</t>
        </is>
      </c>
      <c r="B113" s="7" t="inlineStr">
        <is>
          <t>Санкт-Петербург, Дворцовая пл.</t>
        </is>
      </c>
      <c r="C113" s="24">
        <f>HYPERLINK("https://www.avito.ru/sankt-peterburg/uslugi/priem_i_vyvoz_metalloloma_priem_redkih_metallov_8023797939","8023797939")</f>
        <v/>
      </c>
      <c r="D113" s="24" t="inlineStr">
        <is>
          <t>РЗМ</t>
        </is>
      </c>
      <c r="E113" s="25" t="n">
        <v>6</v>
      </c>
      <c r="F113" s="25" t="n">
        <v>0</v>
      </c>
      <c r="G113" s="26" t="n">
        <v>0</v>
      </c>
      <c r="H113" s="24" t="n">
        <v>0</v>
      </c>
      <c r="I113" s="24" t="n">
        <v>0</v>
      </c>
      <c r="J113" s="27" t="n">
        <v>0</v>
      </c>
      <c r="K113" s="28" t="n">
        <v>122.4</v>
      </c>
    </row>
    <row r="114">
      <c r="A114" s="23" t="inlineStr">
        <is>
          <t>Услуги</t>
        </is>
      </c>
      <c r="B114" s="7" t="inlineStr">
        <is>
          <t>Грязовец, ул. Волкова, 11/2</t>
        </is>
      </c>
      <c r="C114" s="24">
        <f>HYPERLINK("https://www.avito.ru/gryazovets/uslugi/priem_i_vyvoz_metalloloma_sdat_lom_8023830451","8023830451")</f>
        <v/>
      </c>
      <c r="D114" s="24" t="inlineStr">
        <is>
          <t>Общее</t>
        </is>
      </c>
      <c r="E114" s="25" t="n">
        <v>6</v>
      </c>
      <c r="F114" s="25" t="n">
        <v>0</v>
      </c>
      <c r="G114" s="26" t="n">
        <v>0</v>
      </c>
      <c r="H114" s="24" t="n">
        <v>0</v>
      </c>
      <c r="I114" s="24" t="n">
        <v>0</v>
      </c>
      <c r="J114" s="27" t="n">
        <v>0</v>
      </c>
      <c r="K114" s="28" t="n">
        <v>30.6</v>
      </c>
    </row>
    <row r="115">
      <c r="A115" s="23" t="inlineStr">
        <is>
          <t>Услуги</t>
        </is>
      </c>
      <c r="B115" s="7" t="inlineStr">
        <is>
          <t>Сосновый Бор, Ракопежское ш., 32</t>
        </is>
      </c>
      <c r="C115" s="24">
        <f>HYPERLINK("https://www.avito.ru/leningradskaya_oblast_sosnovyy_bor/uslugi/priem_loma_tsvetnyh_metallov_8023041146","8023041146")</f>
        <v/>
      </c>
      <c r="D115" s="24" t="inlineStr">
        <is>
          <t>Цветмет</t>
        </is>
      </c>
      <c r="E115" s="25" t="n">
        <v>5</v>
      </c>
      <c r="F115" s="25" t="n">
        <v>0</v>
      </c>
      <c r="G115" s="26" t="n">
        <v>0</v>
      </c>
      <c r="H115" s="24" t="n">
        <v>0</v>
      </c>
      <c r="I115" s="24" t="n">
        <v>0</v>
      </c>
      <c r="J115" s="27" t="n">
        <v>0</v>
      </c>
      <c r="K115" s="28" t="n">
        <v>93.5</v>
      </c>
    </row>
    <row r="116">
      <c r="A116" s="23" t="inlineStr">
        <is>
          <t>Услуги</t>
        </is>
      </c>
      <c r="B116" s="7" t="inlineStr">
        <is>
          <t>Тихвин, Право-Вологодский тупик, 9</t>
        </is>
      </c>
      <c r="C116" s="24">
        <f>HYPERLINK("https://www.avito.ru/tihvin/uslugi/priem_metalloloma_priem_chernogo_loma_8023213321","8023213321")</f>
        <v/>
      </c>
      <c r="D116" s="24" t="inlineStr">
        <is>
          <t>Чермет</t>
        </is>
      </c>
      <c r="E116" s="25" t="n">
        <v>5</v>
      </c>
      <c r="F116" s="25" t="n">
        <v>0</v>
      </c>
      <c r="G116" s="26" t="n">
        <v>0</v>
      </c>
      <c r="H116" s="24" t="n">
        <v>0</v>
      </c>
      <c r="I116" s="24" t="n">
        <v>0</v>
      </c>
      <c r="J116" s="27" t="n">
        <v>0</v>
      </c>
      <c r="K116" s="28" t="n">
        <v>74.8</v>
      </c>
    </row>
    <row r="117">
      <c r="A117" s="23" t="inlineStr">
        <is>
          <t>Услуги</t>
        </is>
      </c>
      <c r="B117" s="7" t="inlineStr">
        <is>
          <t>Санкт-Петербург, Коломяжский пр-т, 24</t>
        </is>
      </c>
      <c r="C117" s="24">
        <f>HYPERLINK("https://www.avito.ru/sankt-peterburg/uslugi/priem_i_vyvoz_metalloloma_sdat_lom_8023243630","8023243630")</f>
        <v/>
      </c>
      <c r="D117" s="24" t="inlineStr">
        <is>
          <t>Общее</t>
        </is>
      </c>
      <c r="E117" s="25" t="n">
        <v>5</v>
      </c>
      <c r="F117" s="25" t="n">
        <v>0</v>
      </c>
      <c r="G117" s="26" t="n">
        <v>0</v>
      </c>
      <c r="H117" s="24" t="n">
        <v>0</v>
      </c>
      <c r="I117" s="24" t="n">
        <v>0</v>
      </c>
      <c r="J117" s="27" t="n">
        <v>0</v>
      </c>
      <c r="K117" s="28" t="n">
        <v>301.2</v>
      </c>
    </row>
    <row r="118">
      <c r="A118" s="23" t="inlineStr">
        <is>
          <t>Услуги</t>
        </is>
      </c>
      <c r="B118" s="7" t="inlineStr">
        <is>
          <t>рп. Шексна, ДОЗ ул.</t>
        </is>
      </c>
      <c r="C118" s="24">
        <f>HYPERLINK("https://www.avito.ru/sheksna/uslugi/priem_metalloloma_priem_chernogo_loma_8023257222","8023257222")</f>
        <v/>
      </c>
      <c r="D118" s="24" t="inlineStr">
        <is>
          <t>Чермет</t>
        </is>
      </c>
      <c r="E118" s="25" t="n">
        <v>5</v>
      </c>
      <c r="F118" s="25" t="n">
        <v>0</v>
      </c>
      <c r="G118" s="26" t="n">
        <v>0</v>
      </c>
      <c r="H118" s="24" t="n">
        <v>0</v>
      </c>
      <c r="I118" s="24" t="n">
        <v>0</v>
      </c>
      <c r="J118" s="27" t="n">
        <v>0</v>
      </c>
      <c r="K118" s="28" t="n">
        <v>20.4</v>
      </c>
    </row>
    <row r="119">
      <c r="A119" s="23" t="inlineStr">
        <is>
          <t>Услуги</t>
        </is>
      </c>
      <c r="B119" s="7" t="inlineStr">
        <is>
          <t>Санкт-Петербург, ул. Смолячкова, 21</t>
        </is>
      </c>
      <c r="C119" s="24">
        <f>HYPERLINK("https://www.avito.ru/sankt-peterburg/uslugi/priem_metalloloma_priem_chernogo_loma_opt_8023271188","8023271188")</f>
        <v/>
      </c>
      <c r="D119" s="24" t="inlineStr">
        <is>
          <t>Чермет</t>
        </is>
      </c>
      <c r="E119" s="25" t="n">
        <v>5</v>
      </c>
      <c r="F119" s="25" t="n">
        <v>0</v>
      </c>
      <c r="G119" s="26" t="n">
        <v>0</v>
      </c>
      <c r="H119" s="24" t="n">
        <v>0</v>
      </c>
      <c r="I119" s="24" t="n">
        <v>0</v>
      </c>
      <c r="J119" s="27" t="n">
        <v>0</v>
      </c>
      <c r="K119" s="28" t="n">
        <v>102</v>
      </c>
    </row>
    <row r="120">
      <c r="A120" s="23" t="inlineStr">
        <is>
          <t>Услуги</t>
        </is>
      </c>
      <c r="B120" s="7" t="inlineStr">
        <is>
          <t>Кириши, ш. Энтузиастов, 6А</t>
        </is>
      </c>
      <c r="C120" s="24">
        <f>HYPERLINK("https://www.avito.ru/kirishi/uslugi/priem_metalloloma_priem_chernogo_loma_8023275447","8023275447")</f>
        <v/>
      </c>
      <c r="D120" s="24" t="inlineStr">
        <is>
          <t>Чермет</t>
        </is>
      </c>
      <c r="E120" s="25" t="n">
        <v>5</v>
      </c>
      <c r="F120" s="25" t="n">
        <v>0</v>
      </c>
      <c r="G120" s="26" t="n">
        <v>0</v>
      </c>
      <c r="H120" s="24" t="n">
        <v>0</v>
      </c>
      <c r="I120" s="24" t="n">
        <v>0</v>
      </c>
      <c r="J120" s="27" t="n">
        <v>0</v>
      </c>
      <c r="K120" s="28" t="n">
        <v>74.8</v>
      </c>
    </row>
    <row r="121">
      <c r="A121" s="23" t="inlineStr">
        <is>
          <t>Услуги</t>
        </is>
      </c>
      <c r="B121" s="7" t="inlineStr">
        <is>
          <t>Малая Вишера</t>
        </is>
      </c>
      <c r="C121" s="24">
        <f>HYPERLINK("https://www.avito.ru/malaya_vishera/uslugi/priem_metalloloma_priem_chernogo_loma_opt_8023372446","8023372446")</f>
        <v/>
      </c>
      <c r="D121" s="24" t="inlineStr">
        <is>
          <t>Чермет</t>
        </is>
      </c>
      <c r="E121" s="25" t="n">
        <v>5</v>
      </c>
      <c r="F121" s="25" t="n">
        <v>1</v>
      </c>
      <c r="G121" s="26" t="n">
        <v>0.2</v>
      </c>
      <c r="H121" s="24" t="n">
        <v>0</v>
      </c>
      <c r="I121" s="24" t="n">
        <v>1</v>
      </c>
      <c r="J121" s="27" t="n">
        <v>20.4</v>
      </c>
      <c r="K121" s="28" t="n">
        <v>20.4</v>
      </c>
    </row>
    <row r="122">
      <c r="A122" s="23" t="inlineStr">
        <is>
          <t>Услуги</t>
        </is>
      </c>
      <c r="B122" s="7" t="inlineStr">
        <is>
          <t>Северодвинск, Ягринское ш., 2А</t>
        </is>
      </c>
      <c r="C122" s="24">
        <f>HYPERLINK("https://www.avito.ru/severodvinsk/uslugi/priem_metalloloma_skupka_metalla_8023409596","8023409596")</f>
        <v/>
      </c>
      <c r="D122" s="24" t="inlineStr">
        <is>
          <t>Общее</t>
        </is>
      </c>
      <c r="E122" s="25" t="n">
        <v>5</v>
      </c>
      <c r="F122" s="25" t="n">
        <v>2</v>
      </c>
      <c r="G122" s="26" t="n">
        <v>0.4</v>
      </c>
      <c r="H122" s="24" t="n">
        <v>1</v>
      </c>
      <c r="I122" s="24" t="n">
        <v>1</v>
      </c>
      <c r="J122" s="27" t="n">
        <v>12.75</v>
      </c>
      <c r="K122" s="28" t="n">
        <v>25.5</v>
      </c>
    </row>
    <row r="123">
      <c r="A123" s="23" t="inlineStr">
        <is>
          <t>Услуги</t>
        </is>
      </c>
      <c r="B123" s="7" t="inlineStr">
        <is>
          <t>Санкт-Петербург, б-р Новаторов, 73к4А</t>
        </is>
      </c>
      <c r="C123" s="24">
        <f>HYPERLINK("https://www.avito.ru/sankt-peterburg/uslugi/priem_tsvetnogo_metalloloma_8023512713","8023512713")</f>
        <v/>
      </c>
      <c r="D123" s="24" t="inlineStr">
        <is>
          <t>Цветмет</t>
        </is>
      </c>
      <c r="E123" s="25" t="n">
        <v>5</v>
      </c>
      <c r="F123" s="25" t="n">
        <v>0</v>
      </c>
      <c r="G123" s="26" t="n">
        <v>0</v>
      </c>
      <c r="H123" s="24" t="n">
        <v>0</v>
      </c>
      <c r="I123" s="24" t="n">
        <v>0</v>
      </c>
      <c r="J123" s="27" t="n">
        <v>0</v>
      </c>
      <c r="K123" s="28" t="n">
        <v>102</v>
      </c>
    </row>
    <row r="124">
      <c r="A124" s="23" t="inlineStr">
        <is>
          <t>Услуги</t>
        </is>
      </c>
      <c r="B124" s="7" t="inlineStr">
        <is>
          <t>Санкт-Петербург, Московская пл.</t>
        </is>
      </c>
      <c r="C124" s="24">
        <f>HYPERLINK("https://www.avito.ru/sankt-peterburg/uslugi/priem_metalla_sdat_lom_vyvoz_loma_8023519224","8023519224")</f>
        <v/>
      </c>
      <c r="D124" s="24" t="inlineStr">
        <is>
          <t>Общее</t>
        </is>
      </c>
      <c r="E124" s="25" t="n">
        <v>5</v>
      </c>
      <c r="F124" s="25" t="n">
        <v>0</v>
      </c>
      <c r="G124" s="26" t="n">
        <v>0</v>
      </c>
      <c r="H124" s="24" t="n">
        <v>0</v>
      </c>
      <c r="I124" s="24" t="n">
        <v>0</v>
      </c>
      <c r="J124" s="27" t="n">
        <v>0</v>
      </c>
      <c r="K124" s="28" t="n">
        <v>102</v>
      </c>
    </row>
    <row r="125">
      <c r="A125" s="23" t="inlineStr">
        <is>
          <t>Услуги</t>
        </is>
      </c>
      <c r="B125" s="7" t="inlineStr">
        <is>
          <t>Санкт-Петербург, ул. Савушкина, 2</t>
        </is>
      </c>
      <c r="C125" s="24">
        <f>HYPERLINK("https://www.avito.ru/sankt-peterburg/uslugi/priem_metalloloma_priem_tsvetnogo_loma_8023615403","8023615403")</f>
        <v/>
      </c>
      <c r="D125" s="24" t="inlineStr">
        <is>
          <t>Цветмет</t>
        </is>
      </c>
      <c r="E125" s="25" t="n">
        <v>5</v>
      </c>
      <c r="F125" s="25" t="n">
        <v>0</v>
      </c>
      <c r="G125" s="26" t="n">
        <v>0</v>
      </c>
      <c r="H125" s="24" t="n">
        <v>0</v>
      </c>
      <c r="I125" s="24" t="n">
        <v>0</v>
      </c>
      <c r="J125" s="27" t="n">
        <v>0</v>
      </c>
      <c r="K125" s="28" t="n">
        <v>102</v>
      </c>
    </row>
    <row r="126">
      <c r="A126" s="23" t="inlineStr">
        <is>
          <t>Услуги</t>
        </is>
      </c>
      <c r="B126" s="7" t="inlineStr">
        <is>
          <t>Санкт-Петербург, Гражданский пр-т, 116к1</t>
        </is>
      </c>
      <c r="C126" s="24">
        <f>HYPERLINK("https://www.avito.ru/sankt-peterburg/uslugi/priem_loma_priem_tsvetnogo_loma_priem_chermeta_8023687533","8023687533")</f>
        <v/>
      </c>
      <c r="D126" s="24" t="inlineStr">
        <is>
          <t>Цветмет</t>
        </is>
      </c>
      <c r="E126" s="25" t="n">
        <v>5</v>
      </c>
      <c r="F126" s="25" t="n">
        <v>1</v>
      </c>
      <c r="G126" s="26" t="n">
        <v>0.2</v>
      </c>
      <c r="H126" s="24" t="n">
        <v>0</v>
      </c>
      <c r="I126" s="24" t="n">
        <v>1</v>
      </c>
      <c r="J126" s="27" t="n">
        <v>102</v>
      </c>
      <c r="K126" s="28" t="n">
        <v>102</v>
      </c>
    </row>
    <row r="127">
      <c r="A127" s="23" t="inlineStr">
        <is>
          <t>Услуги</t>
        </is>
      </c>
      <c r="B127" s="7" t="inlineStr">
        <is>
          <t>городской пос. Тайцы, Советская ул.</t>
        </is>
      </c>
      <c r="C127" s="24">
        <f>HYPERLINK("https://www.avito.ru/tajtsy/uslugi/priem_tsvetnogo_metalloloma_8023888615","8023888615")</f>
        <v/>
      </c>
      <c r="D127" s="24" t="inlineStr">
        <is>
          <t>Цветмет</t>
        </is>
      </c>
      <c r="E127" s="25" t="n">
        <v>5</v>
      </c>
      <c r="F127" s="25" t="n">
        <v>1</v>
      </c>
      <c r="G127" s="26" t="n">
        <v>0.2</v>
      </c>
      <c r="H127" s="24" t="n">
        <v>0</v>
      </c>
      <c r="I127" s="24" t="n">
        <v>1</v>
      </c>
      <c r="J127" s="27" t="n">
        <v>74.8</v>
      </c>
      <c r="K127" s="28" t="n">
        <v>74.8</v>
      </c>
    </row>
    <row r="128">
      <c r="A128" s="23" t="inlineStr">
        <is>
          <t>Услуги</t>
        </is>
      </c>
      <c r="B128" s="7" t="inlineStr">
        <is>
          <t>Тосно, Октябрьская ул., 125Л</t>
        </is>
      </c>
      <c r="C128" s="24">
        <f>HYPERLINK("https://www.avito.ru/tosno/uslugi/priem_loma_tsvetnyh_metallov_8023060955","8023060955")</f>
        <v/>
      </c>
      <c r="D128" s="24" t="inlineStr">
        <is>
          <t>Цветмет</t>
        </is>
      </c>
      <c r="E128" s="25" t="n">
        <v>4</v>
      </c>
      <c r="F128" s="25" t="n">
        <v>0</v>
      </c>
      <c r="G128" s="26" t="n">
        <v>0</v>
      </c>
      <c r="H128" s="24" t="n">
        <v>0</v>
      </c>
      <c r="I128" s="24" t="n">
        <v>0</v>
      </c>
      <c r="J128" s="27" t="n">
        <v>0</v>
      </c>
      <c r="K128" s="28" t="n">
        <v>74.8</v>
      </c>
    </row>
    <row r="129">
      <c r="A129" s="23" t="inlineStr">
        <is>
          <t>Услуги</t>
        </is>
      </c>
      <c r="B129" s="7" t="inlineStr">
        <is>
          <t>Череповец, Северное ш., 71А</t>
        </is>
      </c>
      <c r="C129" s="24">
        <f>HYPERLINK("https://www.avito.ru/cherepovets/uslugi/priem_metalloloma_priem_chernogo_loma_8023078274","8023078274")</f>
        <v/>
      </c>
      <c r="D129" s="24" t="inlineStr">
        <is>
          <t>Чермет</t>
        </is>
      </c>
      <c r="E129" s="25" t="n">
        <v>4</v>
      </c>
      <c r="F129" s="25" t="n">
        <v>2</v>
      </c>
      <c r="G129" s="26" t="n">
        <v>0.5</v>
      </c>
      <c r="H129" s="24" t="n">
        <v>0</v>
      </c>
      <c r="I129" s="24" t="n">
        <v>2</v>
      </c>
      <c r="J129" s="27" t="n">
        <v>10.2</v>
      </c>
      <c r="K129" s="28" t="n">
        <v>20.4</v>
      </c>
    </row>
    <row r="130">
      <c r="A130" s="23" t="inlineStr">
        <is>
          <t>Услуги</t>
        </is>
      </c>
      <c r="B130" s="7" t="inlineStr">
        <is>
          <t>Санкт-Петербург, Дворцовая пл.</t>
        </is>
      </c>
      <c r="C130" s="24">
        <f>HYPERLINK("https://www.avito.ru/sankt-peterburg/uslugi/priem_metalloloma_vyvoz_metalloloma_8023100844","8023100844")</f>
        <v/>
      </c>
      <c r="D130" s="24" t="inlineStr">
        <is>
          <t>Общее</t>
        </is>
      </c>
      <c r="E130" s="25" t="n">
        <v>4</v>
      </c>
      <c r="F130" s="25" t="n">
        <v>1</v>
      </c>
      <c r="G130" s="26" t="n">
        <v>0.25</v>
      </c>
      <c r="H130" s="24" t="n">
        <v>0</v>
      </c>
      <c r="I130" s="24" t="n">
        <v>1</v>
      </c>
      <c r="J130" s="27" t="n">
        <v>400.8</v>
      </c>
      <c r="K130" s="28" t="n">
        <v>400.8</v>
      </c>
    </row>
    <row r="131">
      <c r="A131" s="23" t="inlineStr">
        <is>
          <t>Услуги</t>
        </is>
      </c>
      <c r="B131" s="7" t="inlineStr">
        <is>
          <t>Сокол, Советская ул., 122Б</t>
        </is>
      </c>
      <c r="C131" s="24">
        <f>HYPERLINK("https://www.avito.ru/vologodskaya_oblast_sokol/uslugi/priem_metalloloma_priem_loma_demontazh_8023153024","8023153024")</f>
        <v/>
      </c>
      <c r="D131" s="24" t="inlineStr">
        <is>
          <t>Общее</t>
        </is>
      </c>
      <c r="E131" s="25" t="n">
        <v>4</v>
      </c>
      <c r="F131" s="25" t="n">
        <v>0</v>
      </c>
      <c r="G131" s="26" t="n">
        <v>0</v>
      </c>
      <c r="H131" s="24" t="n">
        <v>0</v>
      </c>
      <c r="I131" s="24" t="n">
        <v>0</v>
      </c>
      <c r="J131" s="27" t="n">
        <v>0</v>
      </c>
      <c r="K131" s="28" t="n">
        <v>20.4</v>
      </c>
    </row>
    <row r="132">
      <c r="A132" s="23" t="inlineStr">
        <is>
          <t>Услуги</t>
        </is>
      </c>
      <c r="B132" s="7" t="inlineStr">
        <is>
          <t>Бокситогорск, Дымское ш., 1</t>
        </is>
      </c>
      <c r="C132" s="24">
        <f>HYPERLINK("https://www.avito.ru/boksitogorsk/uslugi/priem_metalloloma_priem_chernogo_loma_opt_8023209808","8023209808")</f>
        <v/>
      </c>
      <c r="D132" s="24" t="inlineStr">
        <is>
          <t>Чермет</t>
        </is>
      </c>
      <c r="E132" s="25" t="n">
        <v>4</v>
      </c>
      <c r="F132" s="25" t="n">
        <v>0</v>
      </c>
      <c r="G132" s="26" t="n">
        <v>0</v>
      </c>
      <c r="H132" s="24" t="n">
        <v>0</v>
      </c>
      <c r="I132" s="24" t="n">
        <v>0</v>
      </c>
      <c r="J132" s="27" t="n">
        <v>0</v>
      </c>
      <c r="K132" s="28" t="n">
        <v>74.8</v>
      </c>
    </row>
    <row r="133">
      <c r="A133" s="23" t="inlineStr">
        <is>
          <t>Услуги</t>
        </is>
      </c>
      <c r="B133" s="7" t="inlineStr">
        <is>
          <t>Лодейное Поле</t>
        </is>
      </c>
      <c r="C133" s="24">
        <f>HYPERLINK("https://www.avito.ru/lodeynoe_pole/uslugi/priem_metalloloma_demontazh_priem_metalla_8023243319","8023243319")</f>
        <v/>
      </c>
      <c r="D133" s="24" t="inlineStr">
        <is>
          <t>Общее</t>
        </is>
      </c>
      <c r="E133" s="25" t="n">
        <v>4</v>
      </c>
      <c r="F133" s="25" t="n">
        <v>0</v>
      </c>
      <c r="G133" s="26" t="n">
        <v>0</v>
      </c>
      <c r="H133" s="24" t="n">
        <v>0</v>
      </c>
      <c r="I133" s="24" t="n">
        <v>0</v>
      </c>
      <c r="J133" s="27" t="n">
        <v>0</v>
      </c>
      <c r="K133" s="28" t="n">
        <v>56.1</v>
      </c>
    </row>
    <row r="134">
      <c r="A134" s="23" t="inlineStr">
        <is>
          <t>Услуги</t>
        </is>
      </c>
      <c r="B134" s="7" t="inlineStr">
        <is>
          <t>Архангельск, ул. Октябрят, 27к3</t>
        </is>
      </c>
      <c r="C134" s="24">
        <f>HYPERLINK("https://www.avito.ru/arhangelsk/uslugi/priem_metalloloma_skupka_metalla_8023306741","8023306741")</f>
        <v/>
      </c>
      <c r="D134" s="24" t="inlineStr">
        <is>
          <t>Общее</t>
        </is>
      </c>
      <c r="E134" s="25" t="n">
        <v>4</v>
      </c>
      <c r="F134" s="25" t="n">
        <v>0</v>
      </c>
      <c r="G134" s="26" t="n">
        <v>0</v>
      </c>
      <c r="H134" s="24" t="n">
        <v>0</v>
      </c>
      <c r="I134" s="24" t="n">
        <v>0</v>
      </c>
      <c r="J134" s="27" t="n">
        <v>0</v>
      </c>
      <c r="K134" s="28" t="n">
        <v>15.3</v>
      </c>
    </row>
    <row r="135">
      <c r="A135" s="23" t="inlineStr">
        <is>
          <t>Услуги</t>
        </is>
      </c>
      <c r="B135" s="7" t="inlineStr">
        <is>
          <t>Новая Ладога, ул. Суворова, 53</t>
        </is>
      </c>
      <c r="C135" s="24">
        <f>HYPERLINK("https://www.avito.ru/novaya_ladoga/uslugi/priem_tsvetnogo_metalloloma_8023328850","8023328850")</f>
        <v/>
      </c>
      <c r="D135" s="24" t="inlineStr">
        <is>
          <t>Цветмет</t>
        </is>
      </c>
      <c r="E135" s="25" t="n">
        <v>4</v>
      </c>
      <c r="F135" s="25" t="n">
        <v>0</v>
      </c>
      <c r="G135" s="26" t="n">
        <v>0</v>
      </c>
      <c r="H135" s="24" t="n">
        <v>0</v>
      </c>
      <c r="I135" s="24" t="n">
        <v>0</v>
      </c>
      <c r="J135" s="27" t="n">
        <v>0</v>
      </c>
      <c r="K135" s="28" t="n">
        <v>74.8</v>
      </c>
    </row>
    <row r="136">
      <c r="A136" s="23" t="inlineStr">
        <is>
          <t>Услуги</t>
        </is>
      </c>
      <c r="B136" s="7" t="inlineStr">
        <is>
          <t>Кировск, Северная ул., 1В</t>
        </is>
      </c>
      <c r="C136" s="24">
        <f>HYPERLINK("https://www.avito.ru/leningradskaya_oblast_kirovsk/uslugi/priem_i_vyvoz_metalloloma_samovyvoz_loma_8023421453","8023421453")</f>
        <v/>
      </c>
      <c r="D136" s="24" t="inlineStr">
        <is>
          <t>Общее</t>
        </is>
      </c>
      <c r="E136" s="25" t="n">
        <v>4</v>
      </c>
      <c r="F136" s="25" t="n">
        <v>2</v>
      </c>
      <c r="G136" s="26" t="n">
        <v>0.5</v>
      </c>
      <c r="H136" s="24" t="n">
        <v>0</v>
      </c>
      <c r="I136" s="24" t="n">
        <v>2</v>
      </c>
      <c r="J136" s="27" t="n">
        <v>28.05</v>
      </c>
      <c r="K136" s="28" t="n">
        <v>56.1</v>
      </c>
    </row>
    <row r="137">
      <c r="A137" s="23" t="inlineStr">
        <is>
          <t>Услуги</t>
        </is>
      </c>
      <c r="B137" s="7" t="inlineStr">
        <is>
          <t>Вытегра, Вологодская ул., 1</t>
        </is>
      </c>
      <c r="C137" s="24">
        <f>HYPERLINK("https://www.avito.ru/vytegra/uslugi/priem_tsvetnogo_metalloloma_8023422459","8023422459")</f>
        <v/>
      </c>
      <c r="D137" s="24" t="inlineStr">
        <is>
          <t>Цветмет</t>
        </is>
      </c>
      <c r="E137" s="25" t="n">
        <v>4</v>
      </c>
      <c r="F137" s="25" t="n">
        <v>0</v>
      </c>
      <c r="G137" s="26" t="n">
        <v>0</v>
      </c>
      <c r="H137" s="24" t="n">
        <v>0</v>
      </c>
      <c r="I137" s="24" t="n">
        <v>0</v>
      </c>
      <c r="J137" s="27" t="n">
        <v>0</v>
      </c>
      <c r="K137" s="28" t="n">
        <v>20.4</v>
      </c>
    </row>
    <row r="138">
      <c r="A138" s="23" t="inlineStr">
        <is>
          <t>Услуги</t>
        </is>
      </c>
      <c r="B138" s="7" t="inlineStr">
        <is>
          <t>Санкт-Петербург, Коломяжский пр-т, 24</t>
        </is>
      </c>
      <c r="C138" s="24">
        <f>HYPERLINK("https://www.avito.ru/sankt-peterburg/uslugi/priem_metalloloma_demontazh_priem_metalla_8023461594","8023461594")</f>
        <v/>
      </c>
      <c r="D138" s="24" t="inlineStr">
        <is>
          <t>Общее</t>
        </is>
      </c>
      <c r="E138" s="25" t="n">
        <v>4</v>
      </c>
      <c r="F138" s="25" t="n">
        <v>0</v>
      </c>
      <c r="G138" s="26" t="n">
        <v>0</v>
      </c>
      <c r="H138" s="24" t="n">
        <v>0</v>
      </c>
      <c r="I138" s="24" t="n">
        <v>0</v>
      </c>
      <c r="J138" s="27" t="n">
        <v>0</v>
      </c>
      <c r="K138" s="28" t="n">
        <v>81.59999999999999</v>
      </c>
    </row>
    <row r="139">
      <c r="A139" s="23" t="inlineStr">
        <is>
          <t>Услуги</t>
        </is>
      </c>
      <c r="B139" s="7" t="inlineStr">
        <is>
          <t>Кингисепп, ул. Дорожников, 35</t>
        </is>
      </c>
      <c r="C139" s="24">
        <f>HYPERLINK("https://www.avito.ru/kingisepp/uslugi/priem_i_vyvoz_metalloloma_sdat_lom_8023603032","8023603032")</f>
        <v/>
      </c>
      <c r="D139" s="24" t="inlineStr">
        <is>
          <t>Общее</t>
        </is>
      </c>
      <c r="E139" s="25" t="n">
        <v>4</v>
      </c>
      <c r="F139" s="25" t="n">
        <v>0</v>
      </c>
      <c r="G139" s="26" t="n">
        <v>0</v>
      </c>
      <c r="H139" s="24" t="n">
        <v>0</v>
      </c>
      <c r="I139" s="24" t="n">
        <v>0</v>
      </c>
      <c r="J139" s="27" t="n">
        <v>0</v>
      </c>
      <c r="K139" s="28" t="n">
        <v>74.8</v>
      </c>
    </row>
    <row r="140">
      <c r="A140" s="23" t="inlineStr">
        <is>
          <t>Услуги</t>
        </is>
      </c>
      <c r="B140" s="7" t="inlineStr">
        <is>
          <t>Гатчина, ул. Старая Дорога, 2</t>
        </is>
      </c>
      <c r="C140" s="24">
        <f>HYPERLINK("https://www.avito.ru/gatchina/uslugi/priem_metalloloma_priem_tsvetnogo_loma_8023656259","8023656259")</f>
        <v/>
      </c>
      <c r="D140" s="24" t="inlineStr">
        <is>
          <t>Цветмет</t>
        </is>
      </c>
      <c r="E140" s="25" t="n">
        <v>4</v>
      </c>
      <c r="F140" s="25" t="n">
        <v>0</v>
      </c>
      <c r="G140" s="26" t="n">
        <v>0</v>
      </c>
      <c r="H140" s="24" t="n">
        <v>0</v>
      </c>
      <c r="I140" s="24" t="n">
        <v>0</v>
      </c>
      <c r="J140" s="27" t="n">
        <v>0</v>
      </c>
      <c r="K140" s="28" t="n">
        <v>74.8</v>
      </c>
    </row>
    <row r="141">
      <c r="A141" s="23" t="inlineStr">
        <is>
          <t>Услуги</t>
        </is>
      </c>
      <c r="B141" s="7" t="inlineStr">
        <is>
          <t>Санкт-Петербург, пр-т Энгельса, 162Р</t>
        </is>
      </c>
      <c r="C141" s="24">
        <f>HYPERLINK("https://www.avito.ru/sankt-peterburg/uslugi/priem_i_vyvoz_metalloloma_samovyvoz_loma_8023662399","8023662399")</f>
        <v/>
      </c>
      <c r="D141" s="24" t="inlineStr">
        <is>
          <t>Общее</t>
        </is>
      </c>
      <c r="E141" s="25" t="n">
        <v>4</v>
      </c>
      <c r="F141" s="25" t="n">
        <v>0</v>
      </c>
      <c r="G141" s="26" t="n">
        <v>0</v>
      </c>
      <c r="H141" s="24" t="n">
        <v>0</v>
      </c>
      <c r="I141" s="24" t="n">
        <v>0</v>
      </c>
      <c r="J141" s="27" t="n">
        <v>0</v>
      </c>
      <c r="K141" s="28" t="n">
        <v>81.59999999999999</v>
      </c>
    </row>
    <row r="142">
      <c r="A142" s="23" t="inlineStr">
        <is>
          <t>Услуги</t>
        </is>
      </c>
      <c r="B142" s="7" t="inlineStr">
        <is>
          <t>Санкт-Петербург, пр-т Энгельса, 162Р</t>
        </is>
      </c>
      <c r="C142" s="24">
        <f>HYPERLINK("https://www.avito.ru/sankt-peterburg/uslugi/priem_loma_tsvetnyh_metallov_8023695145","8023695145")</f>
        <v/>
      </c>
      <c r="D142" s="24" t="inlineStr">
        <is>
          <t>Цветмет</t>
        </is>
      </c>
      <c r="E142" s="25" t="n">
        <v>4</v>
      </c>
      <c r="F142" s="25" t="n">
        <v>0</v>
      </c>
      <c r="G142" s="26" t="n">
        <v>0</v>
      </c>
      <c r="H142" s="24" t="n">
        <v>0</v>
      </c>
      <c r="I142" s="24" t="n">
        <v>0</v>
      </c>
      <c r="J142" s="27" t="n">
        <v>0</v>
      </c>
      <c r="K142" s="28" t="n">
        <v>81.59999999999999</v>
      </c>
    </row>
    <row r="143">
      <c r="A143" s="23" t="inlineStr">
        <is>
          <t>Услуги</t>
        </is>
      </c>
      <c r="B143" s="7" t="inlineStr">
        <is>
          <t>Чудово, ул. Губина, 1В</t>
        </is>
      </c>
      <c r="C143" s="24">
        <f>HYPERLINK("https://www.avito.ru/chudovo/uslugi/priem_metalloloma_priem_loma_demontazh_8023711605","8023711605")</f>
        <v/>
      </c>
      <c r="D143" s="24" t="inlineStr">
        <is>
          <t>Общее</t>
        </is>
      </c>
      <c r="E143" s="25" t="n">
        <v>4</v>
      </c>
      <c r="F143" s="25" t="n">
        <v>0</v>
      </c>
      <c r="G143" s="26" t="n">
        <v>0</v>
      </c>
      <c r="H143" s="24" t="n">
        <v>0</v>
      </c>
      <c r="I143" s="24" t="n">
        <v>0</v>
      </c>
      <c r="J143" s="27" t="n">
        <v>0</v>
      </c>
      <c r="K143" s="28" t="n">
        <v>20.4</v>
      </c>
    </row>
    <row r="144">
      <c r="A144" s="23" t="inlineStr">
        <is>
          <t>Услуги</t>
        </is>
      </c>
      <c r="B144" s="7" t="inlineStr">
        <is>
          <t>Волосово, ул. Восстания, 6</t>
        </is>
      </c>
      <c r="C144" s="24">
        <f>HYPERLINK("https://www.avito.ru/volosovo/uslugi/priem_loma_tsvetnyh_metallov_8023799696","8023799696")</f>
        <v/>
      </c>
      <c r="D144" s="24" t="inlineStr">
        <is>
          <t>Цветмет</t>
        </is>
      </c>
      <c r="E144" s="25" t="n">
        <v>4</v>
      </c>
      <c r="F144" s="25" t="n">
        <v>0</v>
      </c>
      <c r="G144" s="26" t="n">
        <v>0</v>
      </c>
      <c r="H144" s="24" t="n">
        <v>0</v>
      </c>
      <c r="I144" s="24" t="n">
        <v>0</v>
      </c>
      <c r="J144" s="27" t="n">
        <v>0</v>
      </c>
      <c r="K144" s="28" t="n">
        <v>56.1</v>
      </c>
    </row>
    <row r="145">
      <c r="A145" s="23" t="inlineStr">
        <is>
          <t>Услуги</t>
        </is>
      </c>
      <c r="B145" s="7" t="inlineStr">
        <is>
          <t>Санкт-Петербург, Центральный район, Кирпичный пер., 1</t>
        </is>
      </c>
      <c r="C145" s="24">
        <f>HYPERLINK("https://www.avito.ru/sankt-peterburg/uslugi/priem_metalloloma_demontazh_priem_metalla_8023841554","8023841554")</f>
        <v/>
      </c>
      <c r="D145" s="24" t="inlineStr">
        <is>
          <t>Общее</t>
        </is>
      </c>
      <c r="E145" s="25" t="n">
        <v>4</v>
      </c>
      <c r="F145" s="25" t="n">
        <v>0</v>
      </c>
      <c r="G145" s="26" t="n">
        <v>0</v>
      </c>
      <c r="H145" s="24" t="n">
        <v>0</v>
      </c>
      <c r="I145" s="24" t="n">
        <v>0</v>
      </c>
      <c r="J145" s="27" t="n">
        <v>0</v>
      </c>
      <c r="K145" s="28" t="n">
        <v>81.59999999999999</v>
      </c>
    </row>
    <row r="146">
      <c r="A146" s="23" t="inlineStr">
        <is>
          <t>Услуги</t>
        </is>
      </c>
      <c r="B146" s="7" t="inlineStr">
        <is>
          <t>Архангельск, ул. Октябрят, 27к3</t>
        </is>
      </c>
      <c r="C146" s="24">
        <f>HYPERLINK("https://www.avito.ru/arhangelsk/uslugi/priem_i_vyvoz_metalloloma_priem_redkih_metallov_8022908659","8022908659")</f>
        <v/>
      </c>
      <c r="D146" s="24" t="inlineStr">
        <is>
          <t>РЗМ</t>
        </is>
      </c>
      <c r="E146" s="25" t="n">
        <v>3</v>
      </c>
      <c r="F146" s="25" t="n">
        <v>0</v>
      </c>
      <c r="G146" s="26" t="n">
        <v>0</v>
      </c>
      <c r="H146" s="24" t="n">
        <v>0</v>
      </c>
      <c r="I146" s="24" t="n">
        <v>0</v>
      </c>
      <c r="J146" s="27" t="n">
        <v>0</v>
      </c>
      <c r="K146" s="28" t="n">
        <v>15.3</v>
      </c>
    </row>
    <row r="147">
      <c r="A147" s="23" t="inlineStr">
        <is>
          <t>Услуги</t>
        </is>
      </c>
      <c r="B147" s="7" t="inlineStr">
        <is>
          <t>Лодейное Поле</t>
        </is>
      </c>
      <c r="C147" s="24">
        <f>HYPERLINK("https://www.avito.ru/lodeynoe_pole/uslugi/priem_metalloloma_priem_chernogo_loma_opt_8022932967","8022932967")</f>
        <v/>
      </c>
      <c r="D147" s="24" t="inlineStr">
        <is>
          <t>Чермет</t>
        </is>
      </c>
      <c r="E147" s="25" t="n">
        <v>3</v>
      </c>
      <c r="F147" s="25" t="n">
        <v>1</v>
      </c>
      <c r="G147" s="26" t="n">
        <v>0.3333</v>
      </c>
      <c r="H147" s="24" t="n">
        <v>1</v>
      </c>
      <c r="I147" s="24" t="n">
        <v>0</v>
      </c>
      <c r="J147" s="27" t="n">
        <v>56.1</v>
      </c>
      <c r="K147" s="28" t="n">
        <v>56.1</v>
      </c>
    </row>
    <row r="148">
      <c r="A148" s="23" t="inlineStr">
        <is>
          <t>Услуги</t>
        </is>
      </c>
      <c r="B148" s="7" t="inlineStr">
        <is>
          <t>Санкт-Петербург, Коломяжский пр-т, 24</t>
        </is>
      </c>
      <c r="C148" s="24">
        <f>HYPERLINK("https://www.avito.ru/sankt-peterburg/uslugi/priem_i_vyvoz_metalloloma_priem_metalla_8023097848","8023097848")</f>
        <v/>
      </c>
      <c r="D148" s="24" t="inlineStr">
        <is>
          <t>Общее</t>
        </is>
      </c>
      <c r="E148" s="25" t="n">
        <v>3</v>
      </c>
      <c r="F148" s="25" t="n">
        <v>0</v>
      </c>
      <c r="G148" s="26" t="n">
        <v>0</v>
      </c>
      <c r="H148" s="24" t="n">
        <v>0</v>
      </c>
      <c r="I148" s="24" t="n">
        <v>0</v>
      </c>
      <c r="J148" s="27" t="n">
        <v>0</v>
      </c>
      <c r="K148" s="28" t="n">
        <v>61.2</v>
      </c>
    </row>
    <row r="149">
      <c r="A149" s="23" t="inlineStr">
        <is>
          <t>Услуги</t>
        </is>
      </c>
      <c r="B149" s="7" t="inlineStr">
        <is>
          <t>Тосно, Октябрьская ул., 125Л</t>
        </is>
      </c>
      <c r="C149" s="24">
        <f>HYPERLINK("https://www.avito.ru/tosno/uslugi/priem_metalloloma_demontazh_vyvoz_metalla_8023129056","8023129056")</f>
        <v/>
      </c>
      <c r="D149" s="24" t="inlineStr">
        <is>
          <t>Общее</t>
        </is>
      </c>
      <c r="E149" s="25" t="n">
        <v>3</v>
      </c>
      <c r="F149" s="25" t="n">
        <v>0</v>
      </c>
      <c r="G149" s="26" t="n">
        <v>0</v>
      </c>
      <c r="H149" s="24" t="n">
        <v>0</v>
      </c>
      <c r="I149" s="24" t="n">
        <v>0</v>
      </c>
      <c r="J149" s="27" t="n">
        <v>0</v>
      </c>
      <c r="K149" s="28" t="n">
        <v>56.1</v>
      </c>
    </row>
    <row r="150">
      <c r="A150" s="23" t="inlineStr">
        <is>
          <t>Услуги</t>
        </is>
      </c>
      <c r="B150" s="7" t="inlineStr">
        <is>
          <t>Санкт-Петербург, б-р Новаторов, 73к4А</t>
        </is>
      </c>
      <c r="C150" s="24">
        <f>HYPERLINK("https://www.avito.ru/sankt-peterburg/uslugi/priem_i_vyvoz_metalloloma_sdat_lom_8023129609","8023129609")</f>
        <v/>
      </c>
      <c r="D150" s="24" t="inlineStr">
        <is>
          <t>Общее</t>
        </is>
      </c>
      <c r="E150" s="25" t="n">
        <v>3</v>
      </c>
      <c r="F150" s="25" t="n">
        <v>0</v>
      </c>
      <c r="G150" s="26" t="n">
        <v>0</v>
      </c>
      <c r="H150" s="24" t="n">
        <v>0</v>
      </c>
      <c r="I150" s="24" t="n">
        <v>0</v>
      </c>
      <c r="J150" s="27" t="n">
        <v>0</v>
      </c>
      <c r="K150" s="28" t="n">
        <v>61.2</v>
      </c>
    </row>
    <row r="151">
      <c r="A151" s="23" t="inlineStr">
        <is>
          <t>Услуги</t>
        </is>
      </c>
      <c r="B151" s="7" t="inlineStr">
        <is>
          <t>Санкт-Петербург, пл. Стачек</t>
        </is>
      </c>
      <c r="C151" s="24">
        <f>HYPERLINK("https://www.avito.ru/sankt-peterburg/uslugi/priem_loma_priem_tsvetnogo_loma_priem_chermeta_8023171610","8023171610")</f>
        <v/>
      </c>
      <c r="D151" s="24" t="inlineStr">
        <is>
          <t>Цветмет</t>
        </is>
      </c>
      <c r="E151" s="25" t="n">
        <v>3</v>
      </c>
      <c r="F151" s="25" t="n">
        <v>0</v>
      </c>
      <c r="G151" s="26" t="n">
        <v>0</v>
      </c>
      <c r="H151" s="24" t="n">
        <v>0</v>
      </c>
      <c r="I151" s="24" t="n">
        <v>0</v>
      </c>
      <c r="J151" s="27" t="n">
        <v>0</v>
      </c>
      <c r="K151" s="28" t="n">
        <v>61.2</v>
      </c>
    </row>
    <row r="152">
      <c r="A152" s="23" t="inlineStr">
        <is>
          <t>Услуги</t>
        </is>
      </c>
      <c r="B152" s="7" t="inlineStr">
        <is>
          <t>Кудрово, мкр-н Южное Кудрово</t>
        </is>
      </c>
      <c r="C152" s="24">
        <f>HYPERLINK("https://www.avito.ru/kudrovo/uslugi/priem_metalloloma_priem_tsvetnogo_loma_8023233430","8023233430")</f>
        <v/>
      </c>
      <c r="D152" s="24" t="inlineStr">
        <is>
          <t>Цветмет</t>
        </is>
      </c>
      <c r="E152" s="25" t="n">
        <v>3</v>
      </c>
      <c r="F152" s="25" t="n">
        <v>0</v>
      </c>
      <c r="G152" s="26" t="n">
        <v>0</v>
      </c>
      <c r="H152" s="24" t="n">
        <v>0</v>
      </c>
      <c r="I152" s="24" t="n">
        <v>0</v>
      </c>
      <c r="J152" s="27" t="n">
        <v>0</v>
      </c>
      <c r="K152" s="28" t="n">
        <v>56.1</v>
      </c>
    </row>
    <row r="153">
      <c r="A153" s="23" t="inlineStr">
        <is>
          <t>Услуги</t>
        </is>
      </c>
      <c r="B153" s="7" t="inlineStr">
        <is>
          <t>Санкт-Петербург, Комендантский пр-т</t>
        </is>
      </c>
      <c r="C153" s="24">
        <f>HYPERLINK("https://www.avito.ru/sankt-peterburg/uslugi/priem_tsvetnogo_metalloloma_8023331092","8023331092")</f>
        <v/>
      </c>
      <c r="D153" s="24" t="inlineStr">
        <is>
          <t>Цветмет</t>
        </is>
      </c>
      <c r="E153" s="25" t="n">
        <v>3</v>
      </c>
      <c r="F153" s="25" t="n">
        <v>0</v>
      </c>
      <c r="G153" s="26" t="n">
        <v>0</v>
      </c>
      <c r="H153" s="24" t="n">
        <v>0</v>
      </c>
      <c r="I153" s="24" t="n">
        <v>0</v>
      </c>
      <c r="J153" s="27" t="n">
        <v>0</v>
      </c>
      <c r="K153" s="28" t="n">
        <v>61.2</v>
      </c>
    </row>
    <row r="154">
      <c r="A154" s="23" t="inlineStr">
        <is>
          <t>Услуги</t>
        </is>
      </c>
      <c r="B154" s="7" t="inlineStr">
        <is>
          <t>Санкт-Петербург, ул. Смолячкова, 21</t>
        </is>
      </c>
      <c r="C154" s="24">
        <f>HYPERLINK("https://www.avito.ru/sankt-peterburg/uslugi/priem_metalloloma_demontazh_priem_metalla_8023437588","8023437588")</f>
        <v/>
      </c>
      <c r="D154" s="24" t="inlineStr">
        <is>
          <t>Общее</t>
        </is>
      </c>
      <c r="E154" s="25" t="n">
        <v>3</v>
      </c>
      <c r="F154" s="25" t="n">
        <v>1</v>
      </c>
      <c r="G154" s="26" t="n">
        <v>0.3333</v>
      </c>
      <c r="H154" s="24" t="n">
        <v>0</v>
      </c>
      <c r="I154" s="24" t="n">
        <v>1</v>
      </c>
      <c r="J154" s="27" t="n">
        <v>61.2</v>
      </c>
      <c r="K154" s="28" t="n">
        <v>61.2</v>
      </c>
    </row>
    <row r="155">
      <c r="A155" s="23" t="inlineStr">
        <is>
          <t>Услуги</t>
        </is>
      </c>
      <c r="B155" s="7" t="inlineStr">
        <is>
          <t>Санкт-Петербург, Комендантский пр-т</t>
        </is>
      </c>
      <c r="C155" s="24">
        <f>HYPERLINK("https://www.avito.ru/sankt-peterburg/uslugi/priem_i_vyvoz_metalloloma_sdat_lom_8023514427","8023514427")</f>
        <v/>
      </c>
      <c r="D155" s="24" t="inlineStr">
        <is>
          <t>Общее</t>
        </is>
      </c>
      <c r="E155" s="25" t="n">
        <v>3</v>
      </c>
      <c r="F155" s="25" t="n">
        <v>0</v>
      </c>
      <c r="G155" s="26" t="n">
        <v>0</v>
      </c>
      <c r="H155" s="24" t="n">
        <v>0</v>
      </c>
      <c r="I155" s="24" t="n">
        <v>0</v>
      </c>
      <c r="J155" s="27" t="n">
        <v>0</v>
      </c>
      <c r="K155" s="28" t="n">
        <v>61.2</v>
      </c>
    </row>
    <row r="156">
      <c r="A156" s="23" t="inlineStr">
        <is>
          <t>Услуги</t>
        </is>
      </c>
      <c r="B156" s="7" t="inlineStr">
        <is>
          <t>Всеволожск, Лиственная ул., 16</t>
        </is>
      </c>
      <c r="C156" s="24">
        <f>HYPERLINK("https://www.avito.ru/vsevolozhsk/uslugi/priem_loma_tsvetnyh_metallov_8023520570","8023520570")</f>
        <v/>
      </c>
      <c r="D156" s="24" t="inlineStr">
        <is>
          <t>Цветмет</t>
        </is>
      </c>
      <c r="E156" s="25" t="n">
        <v>3</v>
      </c>
      <c r="F156" s="25" t="n">
        <v>1</v>
      </c>
      <c r="G156" s="26" t="n">
        <v>0.3333</v>
      </c>
      <c r="H156" s="24" t="n">
        <v>0</v>
      </c>
      <c r="I156" s="24" t="n">
        <v>1</v>
      </c>
      <c r="J156" s="27" t="n">
        <v>56.1</v>
      </c>
      <c r="K156" s="28" t="n">
        <v>56.1</v>
      </c>
    </row>
    <row r="157">
      <c r="A157" s="23" t="inlineStr">
        <is>
          <t>Услуги</t>
        </is>
      </c>
      <c r="B157" s="7" t="inlineStr">
        <is>
          <t>Пикалёво, Советская ул.</t>
        </is>
      </c>
      <c r="C157" s="24">
        <f>HYPERLINK("https://www.avito.ru/pikalevo/uslugi/priem_metalloloma_priem_chernogo_loma_opt_8023594630","8023594630")</f>
        <v/>
      </c>
      <c r="D157" s="24" t="inlineStr">
        <is>
          <t>Чермет</t>
        </is>
      </c>
      <c r="E157" s="25" t="n">
        <v>3</v>
      </c>
      <c r="F157" s="25" t="n">
        <v>0</v>
      </c>
      <c r="G157" s="26" t="n">
        <v>0</v>
      </c>
      <c r="H157" s="24" t="n">
        <v>0</v>
      </c>
      <c r="I157" s="24" t="n">
        <v>0</v>
      </c>
      <c r="J157" s="27" t="n">
        <v>0</v>
      </c>
      <c r="K157" s="28" t="n">
        <v>56.1</v>
      </c>
    </row>
    <row r="158">
      <c r="A158" s="23" t="inlineStr">
        <is>
          <t>Услуги</t>
        </is>
      </c>
      <c r="B158" s="7" t="inlineStr">
        <is>
          <t>Северодвинск, Ягринское ш., 2А</t>
        </is>
      </c>
      <c r="C158" s="24">
        <f>HYPERLINK("https://www.avito.ru/severodvinsk/uslugi/priem_i_vyvoz_metalloloma_priem_redkih_metallov_8023689104","8023689104")</f>
        <v/>
      </c>
      <c r="D158" s="24" t="inlineStr">
        <is>
          <t>РЗМ</t>
        </is>
      </c>
      <c r="E158" s="25" t="n">
        <v>3</v>
      </c>
      <c r="F158" s="25" t="n">
        <v>0</v>
      </c>
      <c r="G158" s="26" t="n">
        <v>0</v>
      </c>
      <c r="H158" s="24" t="n">
        <v>0</v>
      </c>
      <c r="I158" s="24" t="n">
        <v>0</v>
      </c>
      <c r="J158" s="27" t="n">
        <v>0</v>
      </c>
      <c r="K158" s="28" t="n">
        <v>15.3</v>
      </c>
    </row>
    <row r="159">
      <c r="A159" s="23" t="inlineStr">
        <is>
          <t>Услуги</t>
        </is>
      </c>
      <c r="B159" s="7" t="inlineStr">
        <is>
          <t>Бабаево, Северная ул., 56</t>
        </is>
      </c>
      <c r="C159" s="24">
        <f>HYPERLINK("https://www.avito.ru/babaevo/uslugi/priem_metalloloma_demontazh_priem_metalla_8023753279","8023753279")</f>
        <v/>
      </c>
      <c r="D159" s="24" t="inlineStr">
        <is>
          <t>Общее</t>
        </is>
      </c>
      <c r="E159" s="25" t="n">
        <v>3</v>
      </c>
      <c r="F159" s="25" t="n">
        <v>0</v>
      </c>
      <c r="G159" s="26" t="n">
        <v>0</v>
      </c>
      <c r="H159" s="24" t="n">
        <v>0</v>
      </c>
      <c r="I159" s="24" t="n">
        <v>0</v>
      </c>
      <c r="J159" s="27" t="n">
        <v>0</v>
      </c>
      <c r="K159" s="28" t="n">
        <v>15.3</v>
      </c>
    </row>
    <row r="160">
      <c r="A160" s="23" t="inlineStr">
        <is>
          <t>Услуги</t>
        </is>
      </c>
      <c r="B160" s="7" t="inlineStr">
        <is>
          <t>Петрозаводск, Прибрежный пер., 1</t>
        </is>
      </c>
      <c r="C160" s="24">
        <f>HYPERLINK("https://www.avito.ru/petrozavodsk/uslugi/priem_metalla_demontazh_priem_metalloloma_8023755702","8023755702")</f>
        <v/>
      </c>
      <c r="D160" s="24" t="inlineStr">
        <is>
          <t>Общее</t>
        </is>
      </c>
      <c r="E160" s="25" t="n">
        <v>3</v>
      </c>
      <c r="F160" s="25" t="n">
        <v>1</v>
      </c>
      <c r="G160" s="26" t="n">
        <v>0.3333</v>
      </c>
      <c r="H160" s="24" t="n">
        <v>0</v>
      </c>
      <c r="I160" s="24" t="n">
        <v>1</v>
      </c>
      <c r="J160" s="27" t="n">
        <v>15.3</v>
      </c>
      <c r="K160" s="28" t="n">
        <v>15.3</v>
      </c>
    </row>
    <row r="161">
      <c r="A161" s="23" t="inlineStr">
        <is>
          <t>Услуги</t>
        </is>
      </c>
      <c r="B161" s="7" t="inlineStr">
        <is>
          <t>Вологда, ул. Чернышевского, 141А</t>
        </is>
      </c>
      <c r="C161" s="24">
        <f>HYPERLINK("https://www.avito.ru/vologda/uslugi/priem_i_vyvoz_metalloloma_priem_metalla_8023864157","8023864157")</f>
        <v/>
      </c>
      <c r="D161" s="24" t="inlineStr">
        <is>
          <t>Общее</t>
        </is>
      </c>
      <c r="E161" s="25" t="n">
        <v>3</v>
      </c>
      <c r="F161" s="25" t="n">
        <v>0</v>
      </c>
      <c r="G161" s="26" t="n">
        <v>0</v>
      </c>
      <c r="H161" s="24" t="n">
        <v>0</v>
      </c>
      <c r="I161" s="24" t="n">
        <v>0</v>
      </c>
      <c r="J161" s="27" t="n">
        <v>0</v>
      </c>
      <c r="K161" s="28" t="n">
        <v>15.3</v>
      </c>
    </row>
    <row r="162">
      <c r="A162" s="23" t="inlineStr">
        <is>
          <t>Услуги</t>
        </is>
      </c>
      <c r="B162" s="7" t="inlineStr">
        <is>
          <t>городской пос. Тайцы, Советская ул.</t>
        </is>
      </c>
      <c r="C162" s="24">
        <f>HYPERLINK("https://www.avito.ru/tajtsy/uslugi/priem_metalloloma_priem_chernogo_loma_opt_8023889878","8023889878")</f>
        <v/>
      </c>
      <c r="D162" s="24" t="inlineStr">
        <is>
          <t>Чермет</t>
        </is>
      </c>
      <c r="E162" s="25" t="n">
        <v>3</v>
      </c>
      <c r="F162" s="25" t="n">
        <v>0</v>
      </c>
      <c r="G162" s="26" t="n">
        <v>0</v>
      </c>
      <c r="H162" s="24" t="n">
        <v>0</v>
      </c>
      <c r="I162" s="24" t="n">
        <v>0</v>
      </c>
      <c r="J162" s="27" t="n">
        <v>0</v>
      </c>
      <c r="K162" s="28" t="n">
        <v>56.1</v>
      </c>
    </row>
    <row r="163">
      <c r="A163" s="23" t="inlineStr">
        <is>
          <t>Услуги</t>
        </is>
      </c>
      <c r="B163" s="7" t="inlineStr">
        <is>
          <t>Мурино, Центральная ул., 50А</t>
        </is>
      </c>
      <c r="C163" s="24">
        <f>HYPERLINK("https://www.avito.ru/murino/uslugi/priem_metalloloma_priem_chernogo_loma_8022927405","8022927405")</f>
        <v/>
      </c>
      <c r="D163" s="24" t="inlineStr">
        <is>
          <t>Чермет</t>
        </is>
      </c>
      <c r="E163" s="25" t="n">
        <v>2</v>
      </c>
      <c r="F163" s="25" t="n">
        <v>0</v>
      </c>
      <c r="G163" s="26" t="n">
        <v>0</v>
      </c>
      <c r="H163" s="24" t="n">
        <v>0</v>
      </c>
      <c r="I163" s="24" t="n">
        <v>0</v>
      </c>
      <c r="J163" s="27" t="n">
        <v>0</v>
      </c>
      <c r="K163" s="28" t="n">
        <v>37.4</v>
      </c>
    </row>
    <row r="164">
      <c r="A164" s="23" t="inlineStr">
        <is>
          <t>Услуги</t>
        </is>
      </c>
      <c r="B164" s="7" t="inlineStr">
        <is>
          <t>Новодвинск, ул. Фронтовых Бригад, 12</t>
        </is>
      </c>
      <c r="C164" s="24">
        <f>HYPERLINK("https://www.avito.ru/novodvinsk/uslugi/priem_i_vyvoz_metalloloma_sdat_lom_8022951995","8022951995")</f>
        <v/>
      </c>
      <c r="D164" s="24" t="inlineStr">
        <is>
          <t>Общее</t>
        </is>
      </c>
      <c r="E164" s="25" t="n">
        <v>2</v>
      </c>
      <c r="F164" s="25" t="n">
        <v>0</v>
      </c>
      <c r="G164" s="26" t="n">
        <v>0</v>
      </c>
      <c r="H164" s="24" t="n">
        <v>0</v>
      </c>
      <c r="I164" s="24" t="n">
        <v>0</v>
      </c>
      <c r="J164" s="27" t="n">
        <v>0</v>
      </c>
      <c r="K164" s="28" t="n">
        <v>10.2</v>
      </c>
    </row>
    <row r="165">
      <c r="A165" s="23" t="inlineStr">
        <is>
          <t>Услуги</t>
        </is>
      </c>
      <c r="B165" s="7" t="inlineStr">
        <is>
          <t>Подпорожье</t>
        </is>
      </c>
      <c r="C165" s="24">
        <f>HYPERLINK("https://www.avito.ru/podporozhe/uslugi/priem_metalloloma_vyvoz_metalloloma_8023045520","8023045520")</f>
        <v/>
      </c>
      <c r="D165" s="24" t="inlineStr">
        <is>
          <t>Общее</t>
        </is>
      </c>
      <c r="E165" s="25" t="n">
        <v>2</v>
      </c>
      <c r="F165" s="25" t="n">
        <v>0</v>
      </c>
      <c r="G165" s="26" t="n">
        <v>0</v>
      </c>
      <c r="H165" s="24" t="n">
        <v>0</v>
      </c>
      <c r="I165" s="24" t="n">
        <v>0</v>
      </c>
      <c r="J165" s="27" t="n">
        <v>0</v>
      </c>
      <c r="K165" s="28" t="n">
        <v>37.4</v>
      </c>
    </row>
    <row r="166">
      <c r="A166" s="23" t="inlineStr">
        <is>
          <t>Услуги</t>
        </is>
      </c>
      <c r="B166" s="7" t="inlineStr">
        <is>
          <t>Высоцк, Центральная ул.</t>
        </is>
      </c>
      <c r="C166" s="24">
        <f>HYPERLINK("https://www.avito.ru/vysotsk/uslugi/priem_metalloloma_priem_chernogo_loma_opt_8023049179","8023049179")</f>
        <v/>
      </c>
      <c r="D166" s="24" t="inlineStr">
        <is>
          <t>Чермет</t>
        </is>
      </c>
      <c r="E166" s="25" t="n">
        <v>2</v>
      </c>
      <c r="F166" s="25" t="n">
        <v>0</v>
      </c>
      <c r="G166" s="26" t="n">
        <v>0</v>
      </c>
      <c r="H166" s="24" t="n">
        <v>0</v>
      </c>
      <c r="I166" s="24" t="n">
        <v>0</v>
      </c>
      <c r="J166" s="27" t="n">
        <v>0</v>
      </c>
      <c r="K166" s="28" t="n">
        <v>37.4</v>
      </c>
    </row>
    <row r="167">
      <c r="A167" s="23" t="inlineStr">
        <is>
          <t>Услуги</t>
        </is>
      </c>
      <c r="B167" s="7" t="inlineStr">
        <is>
          <t>Малая Вишера</t>
        </is>
      </c>
      <c r="C167" s="24">
        <f>HYPERLINK("https://www.avito.ru/malaya_vishera/uslugi/priem_i_vyvoz_metalloloma_priem_metalla_8023052685","8023052685")</f>
        <v/>
      </c>
      <c r="D167" s="24" t="inlineStr">
        <is>
          <t>Общее</t>
        </is>
      </c>
      <c r="E167" s="25" t="n">
        <v>2</v>
      </c>
      <c r="F167" s="25" t="n">
        <v>0</v>
      </c>
      <c r="G167" s="26" t="n">
        <v>0</v>
      </c>
      <c r="H167" s="24" t="n">
        <v>0</v>
      </c>
      <c r="I167" s="24" t="n">
        <v>0</v>
      </c>
      <c r="J167" s="27" t="n">
        <v>0</v>
      </c>
      <c r="K167" s="28" t="n">
        <v>10.2</v>
      </c>
    </row>
    <row r="168">
      <c r="A168" s="23" t="inlineStr">
        <is>
          <t>Услуги</t>
        </is>
      </c>
      <c r="B168" s="7" t="inlineStr">
        <is>
          <t>Выборг, Промышленная ул., 10</t>
        </is>
      </c>
      <c r="C168" s="24">
        <f>HYPERLINK("https://www.avito.ru/vyborg/uslugi/priem_metalloloma_demontazh_priem_metalla_8023055091","8023055091")</f>
        <v/>
      </c>
      <c r="D168" s="24" t="inlineStr">
        <is>
          <t>Общее</t>
        </is>
      </c>
      <c r="E168" s="25" t="n">
        <v>2</v>
      </c>
      <c r="F168" s="25" t="n">
        <v>1</v>
      </c>
      <c r="G168" s="26" t="n">
        <v>0.5</v>
      </c>
      <c r="H168" s="24" t="n">
        <v>1</v>
      </c>
      <c r="I168" s="24" t="n">
        <v>0</v>
      </c>
      <c r="J168" s="27" t="n">
        <v>37.4</v>
      </c>
      <c r="K168" s="28" t="n">
        <v>37.4</v>
      </c>
    </row>
    <row r="169">
      <c r="A169" s="23" t="inlineStr">
        <is>
          <t>Услуги</t>
        </is>
      </c>
      <c r="B169" s="7" t="inlineStr">
        <is>
          <t>Коммунар, Железнодорожная ул., 6А</t>
        </is>
      </c>
      <c r="C169" s="24">
        <f>HYPERLINK("https://www.avito.ru/leningradskaya_oblast_kommunar/uslugi/priem_metalloloma_priem_chernogo_loma_8023073172","8023073172")</f>
        <v/>
      </c>
      <c r="D169" s="24" t="inlineStr">
        <is>
          <t>Чермет</t>
        </is>
      </c>
      <c r="E169" s="25" t="n">
        <v>2</v>
      </c>
      <c r="F169" s="25" t="n">
        <v>0</v>
      </c>
      <c r="G169" s="26" t="n">
        <v>0</v>
      </c>
      <c r="H169" s="24" t="n">
        <v>0</v>
      </c>
      <c r="I169" s="24" t="n">
        <v>0</v>
      </c>
      <c r="J169" s="27" t="n">
        <v>0</v>
      </c>
      <c r="K169" s="28" t="n">
        <v>37.4</v>
      </c>
    </row>
    <row r="170">
      <c r="A170" s="23" t="inlineStr">
        <is>
          <t>Услуги</t>
        </is>
      </c>
      <c r="B170" s="7" t="inlineStr">
        <is>
          <t>Кировск, Северная ул., 1В</t>
        </is>
      </c>
      <c r="C170" s="24">
        <f>HYPERLINK("https://www.avito.ru/leningradskaya_oblast_kirovsk/uslugi/priem_tsvetnogo_metalloloma_8023156728","8023156728")</f>
        <v/>
      </c>
      <c r="D170" s="24" t="inlineStr">
        <is>
          <t>Цветмет</t>
        </is>
      </c>
      <c r="E170" s="25" t="n">
        <v>2</v>
      </c>
      <c r="F170" s="25" t="n">
        <v>0</v>
      </c>
      <c r="G170" s="26" t="n">
        <v>0</v>
      </c>
      <c r="H170" s="24" t="n">
        <v>0</v>
      </c>
      <c r="I170" s="24" t="n">
        <v>0</v>
      </c>
      <c r="J170" s="27" t="n">
        <v>0</v>
      </c>
      <c r="K170" s="28" t="n">
        <v>37.4</v>
      </c>
    </row>
    <row r="171">
      <c r="A171" s="23" t="inlineStr">
        <is>
          <t>Услуги</t>
        </is>
      </c>
      <c r="B171" s="7" t="inlineStr">
        <is>
          <t>Никольское</t>
        </is>
      </c>
      <c r="C171" s="24">
        <f>HYPERLINK("https://www.avito.ru/leningradskaya_oblast_nikolskoe/uslugi/priem_metalloloma_demontazh_vyvoz_metalla_8023161596","8023161596")</f>
        <v/>
      </c>
      <c r="D171" s="24" t="inlineStr">
        <is>
          <t>Общее</t>
        </is>
      </c>
      <c r="E171" s="25" t="n">
        <v>2</v>
      </c>
      <c r="F171" s="25" t="n">
        <v>0</v>
      </c>
      <c r="G171" s="26" t="n">
        <v>0</v>
      </c>
      <c r="H171" s="24" t="n">
        <v>0</v>
      </c>
      <c r="I171" s="24" t="n">
        <v>0</v>
      </c>
      <c r="J171" s="27" t="n">
        <v>0</v>
      </c>
      <c r="K171" s="28" t="n">
        <v>37.4</v>
      </c>
    </row>
    <row r="172">
      <c r="A172" s="23" t="inlineStr">
        <is>
          <t>Услуги</t>
        </is>
      </c>
      <c r="B172" s="7" t="inlineStr">
        <is>
          <t>Санкт-Петербург, Бухарестская ул., 30</t>
        </is>
      </c>
      <c r="C172" s="24">
        <f>HYPERLINK("https://www.avito.ru/sankt-peterburg/uslugi/priem_metalloloma_skupka_metalla_8023261732","8023261732")</f>
        <v/>
      </c>
      <c r="D172" s="24" t="inlineStr">
        <is>
          <t>Общее</t>
        </is>
      </c>
      <c r="E172" s="25" t="n">
        <v>2</v>
      </c>
      <c r="F172" s="25" t="n">
        <v>0</v>
      </c>
      <c r="G172" s="26" t="n">
        <v>0</v>
      </c>
      <c r="H172" s="24" t="n">
        <v>0</v>
      </c>
      <c r="I172" s="24" t="n">
        <v>0</v>
      </c>
      <c r="J172" s="27" t="n">
        <v>0</v>
      </c>
      <c r="K172" s="28" t="n">
        <v>40.8</v>
      </c>
    </row>
    <row r="173">
      <c r="A173" s="23" t="inlineStr">
        <is>
          <t>Услуги</t>
        </is>
      </c>
      <c r="B173" s="7" t="inlineStr">
        <is>
          <t>городской пос. Янино-1, Кольцевая ул., 3</t>
        </is>
      </c>
      <c r="C173" s="24">
        <f>HYPERLINK("https://www.avito.ru/yanino-1/uslugi/priem_metalloloma_priem_chernogo_loma_8023277035","8023277035")</f>
        <v/>
      </c>
      <c r="D173" s="24" t="inlineStr">
        <is>
          <t>Чермет</t>
        </is>
      </c>
      <c r="E173" s="25" t="n">
        <v>2</v>
      </c>
      <c r="F173" s="25" t="n">
        <v>0</v>
      </c>
      <c r="G173" s="26" t="n">
        <v>0</v>
      </c>
      <c r="H173" s="24" t="n">
        <v>0</v>
      </c>
      <c r="I173" s="24" t="n">
        <v>0</v>
      </c>
      <c r="J173" s="27" t="n">
        <v>0</v>
      </c>
      <c r="K173" s="28" t="n">
        <v>37.4</v>
      </c>
    </row>
    <row r="174">
      <c r="A174" s="23" t="inlineStr">
        <is>
          <t>Услуги</t>
        </is>
      </c>
      <c r="B174" s="7" t="inlineStr">
        <is>
          <t>Новая Ладога, ул. Суворова, 53</t>
        </is>
      </c>
      <c r="C174" s="24">
        <f>HYPERLINK("https://www.avito.ru/novaya_ladoga/uslugi/priem_metalloloma_priem_chernogo_loma_opt_8023298585","8023298585")</f>
        <v/>
      </c>
      <c r="D174" s="24" t="inlineStr">
        <is>
          <t>Чермет</t>
        </is>
      </c>
      <c r="E174" s="25" t="n">
        <v>2</v>
      </c>
      <c r="F174" s="25" t="n">
        <v>0</v>
      </c>
      <c r="G174" s="26" t="n">
        <v>0</v>
      </c>
      <c r="H174" s="24" t="n">
        <v>0</v>
      </c>
      <c r="I174" s="24" t="n">
        <v>0</v>
      </c>
      <c r="J174" s="27" t="n">
        <v>0</v>
      </c>
      <c r="K174" s="28" t="n">
        <v>37.4</v>
      </c>
    </row>
    <row r="175">
      <c r="A175" s="23" t="inlineStr">
        <is>
          <t>Услуги</t>
        </is>
      </c>
      <c r="B175" s="7" t="inlineStr">
        <is>
          <t>Бабаево, Северная ул., 56</t>
        </is>
      </c>
      <c r="C175" s="24">
        <f>HYPERLINK("https://www.avito.ru/babaevo/uslugi/priem_metalloloma_priem_loma_demontazh_8023321030","8023321030")</f>
        <v/>
      </c>
      <c r="D175" s="24" t="inlineStr">
        <is>
          <t>Общее</t>
        </is>
      </c>
      <c r="E175" s="25" t="n">
        <v>2</v>
      </c>
      <c r="F175" s="25" t="n">
        <v>0</v>
      </c>
      <c r="G175" s="26" t="n">
        <v>0</v>
      </c>
      <c r="H175" s="24" t="n">
        <v>0</v>
      </c>
      <c r="I175" s="24" t="n">
        <v>0</v>
      </c>
      <c r="J175" s="27" t="n">
        <v>0</v>
      </c>
      <c r="K175" s="28" t="n">
        <v>10.2</v>
      </c>
    </row>
    <row r="176">
      <c r="A176" s="23" t="inlineStr">
        <is>
          <t>Услуги</t>
        </is>
      </c>
      <c r="B176" s="7" t="inlineStr">
        <is>
          <t>Бокситогорск, Дымское ш., 1</t>
        </is>
      </c>
      <c r="C176" s="24">
        <f>HYPERLINK("https://www.avito.ru/boksitogorsk/uslugi/priem_metalloloma_vyvoz_metalloloma_8023342591","8023342591")</f>
        <v/>
      </c>
      <c r="D176" s="24" t="inlineStr">
        <is>
          <t>Общее</t>
        </is>
      </c>
      <c r="E176" s="25" t="n">
        <v>2</v>
      </c>
      <c r="F176" s="25" t="n">
        <v>0</v>
      </c>
      <c r="G176" s="26" t="n">
        <v>0</v>
      </c>
      <c r="H176" s="24" t="n">
        <v>0</v>
      </c>
      <c r="I176" s="24" t="n">
        <v>0</v>
      </c>
      <c r="J176" s="27" t="n">
        <v>0</v>
      </c>
      <c r="K176" s="28" t="n">
        <v>37.4</v>
      </c>
    </row>
    <row r="177">
      <c r="A177" s="23" t="inlineStr">
        <is>
          <t>Услуги</t>
        </is>
      </c>
      <c r="B177" s="7" t="inlineStr">
        <is>
          <t>Чудово, ул. Губина, 1В</t>
        </is>
      </c>
      <c r="C177" s="24">
        <f>HYPERLINK("https://www.avito.ru/chudovo/uslugi/priem_tsvetnogo_metalloloma_8023395916","8023395916")</f>
        <v/>
      </c>
      <c r="D177" s="24" t="inlineStr">
        <is>
          <t>Цветмет</t>
        </is>
      </c>
      <c r="E177" s="25" t="n">
        <v>2</v>
      </c>
      <c r="F177" s="25" t="n">
        <v>0</v>
      </c>
      <c r="G177" s="26" t="n">
        <v>0</v>
      </c>
      <c r="H177" s="24" t="n">
        <v>0</v>
      </c>
      <c r="I177" s="24" t="n">
        <v>0</v>
      </c>
      <c r="J177" s="27" t="n">
        <v>0</v>
      </c>
      <c r="K177" s="28" t="n">
        <v>10.2</v>
      </c>
    </row>
    <row r="178">
      <c r="A178" s="23" t="inlineStr">
        <is>
          <t>Услуги</t>
        </is>
      </c>
      <c r="B178" s="7" t="inlineStr">
        <is>
          <t>городской пос. Тайцы, Советская ул.</t>
        </is>
      </c>
      <c r="C178" s="24">
        <f>HYPERLINK("https://www.avito.ru/tajtsy/uslugi/priem_metalloloma_priem_loma_demontazh_8023486102","8023486102")</f>
        <v/>
      </c>
      <c r="D178" s="24" t="inlineStr">
        <is>
          <t>Общее</t>
        </is>
      </c>
      <c r="E178" s="25" t="n">
        <v>2</v>
      </c>
      <c r="F178" s="25" t="n">
        <v>1</v>
      </c>
      <c r="G178" s="26" t="n">
        <v>0.5</v>
      </c>
      <c r="H178" s="24" t="n">
        <v>0</v>
      </c>
      <c r="I178" s="24" t="n">
        <v>1</v>
      </c>
      <c r="J178" s="27" t="n">
        <v>37.4</v>
      </c>
      <c r="K178" s="28" t="n">
        <v>37.4</v>
      </c>
    </row>
    <row r="179">
      <c r="A179" s="23" t="inlineStr">
        <is>
          <t>Услуги</t>
        </is>
      </c>
      <c r="B179" s="7" t="inlineStr">
        <is>
          <t>Санкт-Петербург, Комендантский пр-т</t>
        </is>
      </c>
      <c r="C179" s="24">
        <f>HYPERLINK("https://www.avito.ru/sankt-peterburg/uslugi/priem_metalloloma_priem_loma_demontazh_8023592721","8023592721")</f>
        <v/>
      </c>
      <c r="D179" s="24" t="inlineStr">
        <is>
          <t>Общее</t>
        </is>
      </c>
      <c r="E179" s="25" t="n">
        <v>2</v>
      </c>
      <c r="F179" s="25" t="n">
        <v>1</v>
      </c>
      <c r="G179" s="26" t="n">
        <v>0.5</v>
      </c>
      <c r="H179" s="24" t="n">
        <v>0</v>
      </c>
      <c r="I179" s="24" t="n">
        <v>1</v>
      </c>
      <c r="J179" s="27" t="n">
        <v>40.8</v>
      </c>
      <c r="K179" s="28" t="n">
        <v>40.8</v>
      </c>
    </row>
    <row r="180">
      <c r="A180" s="23" t="inlineStr">
        <is>
          <t>Услуги</t>
        </is>
      </c>
      <c r="B180" s="7" t="inlineStr">
        <is>
          <t>Никольское</t>
        </is>
      </c>
      <c r="C180" s="24">
        <f>HYPERLINK("https://www.avito.ru/leningradskaya_oblast_nikolskoe/uslugi/priem_metalloloma_priem_chernogo_loma_8023616756","8023616756")</f>
        <v/>
      </c>
      <c r="D180" s="24" t="inlineStr">
        <is>
          <t>Чермет</t>
        </is>
      </c>
      <c r="E180" s="25" t="n">
        <v>2</v>
      </c>
      <c r="F180" s="25" t="n">
        <v>0</v>
      </c>
      <c r="G180" s="26" t="n">
        <v>0</v>
      </c>
      <c r="H180" s="24" t="n">
        <v>0</v>
      </c>
      <c r="I180" s="24" t="n">
        <v>0</v>
      </c>
      <c r="J180" s="27" t="n">
        <v>0</v>
      </c>
      <c r="K180" s="28" t="n">
        <v>37.4</v>
      </c>
    </row>
    <row r="181">
      <c r="A181" s="23" t="inlineStr">
        <is>
          <t>Услуги</t>
        </is>
      </c>
      <c r="B181" s="7" t="inlineStr">
        <is>
          <t>Коммунар, Железнодорожная ул., 6А</t>
        </is>
      </c>
      <c r="C181" s="24">
        <f>HYPERLINK("https://www.avito.ru/leningradskaya_oblast_kommunar/uslugi/priem_i_vyvoz_metalloloma_priem_redkih_metallov_8023664674","8023664674")</f>
        <v/>
      </c>
      <c r="D181" s="24" t="inlineStr">
        <is>
          <t>РЗМ</t>
        </is>
      </c>
      <c r="E181" s="25" t="n">
        <v>2</v>
      </c>
      <c r="F181" s="25" t="n">
        <v>1</v>
      </c>
      <c r="G181" s="26" t="n">
        <v>0.5</v>
      </c>
      <c r="H181" s="24" t="n">
        <v>1</v>
      </c>
      <c r="I181" s="24" t="n">
        <v>0</v>
      </c>
      <c r="J181" s="27" t="n">
        <v>37.4</v>
      </c>
      <c r="K181" s="28" t="n">
        <v>37.4</v>
      </c>
    </row>
    <row r="182">
      <c r="A182" s="23" t="inlineStr">
        <is>
          <t>Услуги</t>
        </is>
      </c>
      <c r="B182" s="7" t="inlineStr">
        <is>
          <t>д. Кипень, Ропшинское ш., 66</t>
        </is>
      </c>
      <c r="C182" s="24">
        <f>HYPERLINK("https://www.avito.ru/kipen/uslugi/priem_tsvetnogo_metalloloma_8023677504","8023677504")</f>
        <v/>
      </c>
      <c r="D182" s="24" t="inlineStr">
        <is>
          <t>Цветмет</t>
        </is>
      </c>
      <c r="E182" s="25" t="n">
        <v>2</v>
      </c>
      <c r="F182" s="25" t="n">
        <v>0</v>
      </c>
      <c r="G182" s="26" t="n">
        <v>0</v>
      </c>
      <c r="H182" s="24" t="n">
        <v>0</v>
      </c>
      <c r="I182" s="24" t="n">
        <v>0</v>
      </c>
      <c r="J182" s="27" t="n">
        <v>0</v>
      </c>
      <c r="K182" s="28" t="n">
        <v>37.4</v>
      </c>
    </row>
    <row r="183">
      <c r="A183" s="23" t="inlineStr">
        <is>
          <t>Услуги</t>
        </is>
      </c>
      <c r="B183" s="7" t="inlineStr">
        <is>
          <t>Санкт-Петербург, ул. Дыбенко, 26</t>
        </is>
      </c>
      <c r="C183" s="24">
        <f>HYPERLINK("https://www.avito.ru/sankt-peterburg/uslugi/priem_loma_tsvetnyh_metallov_8023771322","8023771322")</f>
        <v/>
      </c>
      <c r="D183" s="24" t="inlineStr">
        <is>
          <t>Цветмет</t>
        </is>
      </c>
      <c r="E183" s="25" t="n">
        <v>2</v>
      </c>
      <c r="F183" s="25" t="n">
        <v>0</v>
      </c>
      <c r="G183" s="26" t="n">
        <v>0</v>
      </c>
      <c r="H183" s="24" t="n">
        <v>0</v>
      </c>
      <c r="I183" s="24" t="n">
        <v>0</v>
      </c>
      <c r="J183" s="27" t="n">
        <v>0</v>
      </c>
      <c r="K183" s="28" t="n">
        <v>40.8</v>
      </c>
    </row>
    <row r="184">
      <c r="A184" s="23" t="inlineStr">
        <is>
          <t>Услуги</t>
        </is>
      </c>
      <c r="B184" s="7" t="inlineStr">
        <is>
          <t>рп. Кадуй, Советская ул., 3</t>
        </is>
      </c>
      <c r="C184" s="24">
        <f>HYPERLINK("https://www.avito.ru/kaduy/uslugi/priem_metalla_sdat_lom_vyvoz_loma_8023813949","8023813949")</f>
        <v/>
      </c>
      <c r="D184" s="24" t="inlineStr">
        <is>
          <t>Общее</t>
        </is>
      </c>
      <c r="E184" s="25" t="n">
        <v>2</v>
      </c>
      <c r="F184" s="25" t="n">
        <v>0</v>
      </c>
      <c r="G184" s="26" t="n">
        <v>0</v>
      </c>
      <c r="H184" s="24" t="n">
        <v>0</v>
      </c>
      <c r="I184" s="24" t="n">
        <v>0</v>
      </c>
      <c r="J184" s="27" t="n">
        <v>0</v>
      </c>
      <c r="K184" s="28" t="n">
        <v>5.1</v>
      </c>
    </row>
    <row r="185">
      <c r="A185" s="23" t="inlineStr">
        <is>
          <t>Услуги</t>
        </is>
      </c>
      <c r="B185" s="7" t="inlineStr">
        <is>
          <t>Великий Устюг, Советский пр-т, 3</t>
        </is>
      </c>
      <c r="C185" s="24">
        <f>HYPERLINK("https://www.avito.ru/velikiy_ustyug/uslugi/priem_i_vyvoz_metalloloma_sdat_lom_8023831918","8023831918")</f>
        <v/>
      </c>
      <c r="D185" s="24" t="inlineStr">
        <is>
          <t>Общее</t>
        </is>
      </c>
      <c r="E185" s="25" t="n">
        <v>2</v>
      </c>
      <c r="F185" s="25" t="n">
        <v>0</v>
      </c>
      <c r="G185" s="26" t="n">
        <v>0</v>
      </c>
      <c r="H185" s="24" t="n">
        <v>0</v>
      </c>
      <c r="I185" s="24" t="n">
        <v>0</v>
      </c>
      <c r="J185" s="27" t="n">
        <v>0</v>
      </c>
      <c r="K185" s="28" t="n">
        <v>10.2</v>
      </c>
    </row>
    <row r="186">
      <c r="A186" s="23" t="inlineStr">
        <is>
          <t>Услуги</t>
        </is>
      </c>
      <c r="B186" s="7" t="inlineStr">
        <is>
          <t>Санкт-Петербург, Коломяжский пр-т, 24</t>
        </is>
      </c>
      <c r="C186" s="24">
        <f>HYPERLINK("https://www.avito.ru/sankt-peterburg/uslugi/priem_metalloloma_priem_chernogo_loma_opt_8023869452","8023869452")</f>
        <v/>
      </c>
      <c r="D186" s="24" t="inlineStr">
        <is>
          <t>Чермет</t>
        </is>
      </c>
      <c r="E186" s="25" t="n">
        <v>2</v>
      </c>
      <c r="F186" s="25" t="n">
        <v>0</v>
      </c>
      <c r="G186" s="26" t="n">
        <v>0</v>
      </c>
      <c r="H186" s="24" t="n">
        <v>0</v>
      </c>
      <c r="I186" s="24" t="n">
        <v>0</v>
      </c>
      <c r="J186" s="27" t="n">
        <v>0</v>
      </c>
      <c r="K186" s="28" t="n">
        <v>40.8</v>
      </c>
    </row>
    <row r="187">
      <c r="A187" s="23" t="inlineStr">
        <is>
          <t>Услуги</t>
        </is>
      </c>
      <c r="B187" s="7" t="inlineStr">
        <is>
          <t>д. Новое Девяткино, Главная ул., 48</t>
        </is>
      </c>
      <c r="C187" s="24">
        <f>HYPERLINK("https://www.avito.ru/novoe_devyatkino/uslugi/priem_metalloloma_priem_tsvetnogo_loma_8022910335","8022910335")</f>
        <v/>
      </c>
      <c r="D187" s="24" t="inlineStr">
        <is>
          <t>Цветмет</t>
        </is>
      </c>
      <c r="E187" s="25" t="n">
        <v>1</v>
      </c>
      <c r="F187" s="25" t="n">
        <v>0</v>
      </c>
      <c r="G187" s="26" t="n">
        <v>0</v>
      </c>
      <c r="H187" s="24" t="n">
        <v>0</v>
      </c>
      <c r="I187" s="24" t="n">
        <v>0</v>
      </c>
      <c r="J187" s="27" t="n">
        <v>0</v>
      </c>
      <c r="K187" s="28" t="n">
        <v>18.7</v>
      </c>
    </row>
    <row r="188">
      <c r="A188" s="23" t="inlineStr">
        <is>
          <t>Услуги</t>
        </is>
      </c>
      <c r="B188" s="7" t="inlineStr">
        <is>
          <t>пос. Красная Долина, Центральное ш.</t>
        </is>
      </c>
      <c r="C188" s="24">
        <f>HYPERLINK("https://www.avito.ru/krasnaya_dolina/uslugi/priem_metalloloma_priem_chernogo_loma_opt_8022922151","8022922151")</f>
        <v/>
      </c>
      <c r="D188" s="24" t="inlineStr">
        <is>
          <t>Чермет</t>
        </is>
      </c>
      <c r="E188" s="25" t="n">
        <v>1</v>
      </c>
      <c r="F188" s="25" t="n">
        <v>0</v>
      </c>
      <c r="G188" s="26" t="n">
        <v>0</v>
      </c>
      <c r="H188" s="24" t="n">
        <v>0</v>
      </c>
      <c r="I188" s="24" t="n">
        <v>0</v>
      </c>
      <c r="J188" s="27" t="n">
        <v>0</v>
      </c>
      <c r="K188" s="28" t="n">
        <v>18.7</v>
      </c>
    </row>
    <row r="189">
      <c r="A189" s="23" t="inlineStr">
        <is>
          <t>Услуги</t>
        </is>
      </c>
      <c r="B189" s="7" t="inlineStr">
        <is>
          <t>городской пос. Лебяжье, Строительная ул., 10</t>
        </is>
      </c>
      <c r="C189" s="24">
        <f>HYPERLINK("https://www.avito.ru/leningradskaya_oblast_lebyazhe/uslugi/priem_loma_tsvetnyh_metallov_8022983361","8022983361")</f>
        <v/>
      </c>
      <c r="D189" s="24" t="inlineStr">
        <is>
          <t>Цветмет</t>
        </is>
      </c>
      <c r="E189" s="25" t="n">
        <v>1</v>
      </c>
      <c r="F189" s="25" t="n">
        <v>0</v>
      </c>
      <c r="G189" s="26" t="n">
        <v>0</v>
      </c>
      <c r="H189" s="24" t="n">
        <v>0</v>
      </c>
      <c r="I189" s="24" t="n">
        <v>0</v>
      </c>
      <c r="J189" s="27" t="n">
        <v>0</v>
      </c>
      <c r="K189" s="28" t="n">
        <v>18.7</v>
      </c>
    </row>
    <row r="190">
      <c r="A190" s="23" t="inlineStr">
        <is>
          <t>Услуги</t>
        </is>
      </c>
      <c r="B190" s="7" t="inlineStr">
        <is>
          <t>Сясьстрой, Петрозаводская ул., 34</t>
        </is>
      </c>
      <c r="C190" s="24">
        <f>HYPERLINK("https://www.avito.ru/syasstroy/uslugi/priem_metalloloma_demontazh_priem_metalla_8023004580","8023004580")</f>
        <v/>
      </c>
      <c r="D190" s="24" t="inlineStr">
        <is>
          <t>Общее</t>
        </is>
      </c>
      <c r="E190" s="25" t="n">
        <v>1</v>
      </c>
      <c r="F190" s="25" t="n">
        <v>0</v>
      </c>
      <c r="G190" s="26" t="n">
        <v>0</v>
      </c>
      <c r="H190" s="24" t="n">
        <v>0</v>
      </c>
      <c r="I190" s="24" t="n">
        <v>0</v>
      </c>
      <c r="J190" s="27" t="n">
        <v>0</v>
      </c>
      <c r="K190" s="28" t="n">
        <v>18.7</v>
      </c>
    </row>
    <row r="191">
      <c r="A191" s="23" t="inlineStr">
        <is>
          <t>Услуги</t>
        </is>
      </c>
      <c r="B191" s="7" t="inlineStr">
        <is>
          <t>рп. Шексна, ДОЗ ул.</t>
        </is>
      </c>
      <c r="C191" s="24">
        <f>HYPERLINK("https://www.avito.ru/sheksna/uslugi/priem_loma_priem_tsvetnogo_loma_priem_chermeta_8023005429","8023005429")</f>
        <v/>
      </c>
      <c r="D191" s="24" t="inlineStr">
        <is>
          <t>Цветмет</t>
        </is>
      </c>
      <c r="E191" s="25" t="n">
        <v>1</v>
      </c>
      <c r="F191" s="25" t="n">
        <v>0</v>
      </c>
      <c r="G191" s="26" t="n">
        <v>0</v>
      </c>
      <c r="H191" s="24" t="n">
        <v>0</v>
      </c>
      <c r="I191" s="24" t="n">
        <v>0</v>
      </c>
      <c r="J191" s="27" t="n">
        <v>0</v>
      </c>
      <c r="K191" s="28" t="n">
        <v>5.1</v>
      </c>
    </row>
    <row r="192">
      <c r="A192" s="23" t="inlineStr">
        <is>
          <t>Услуги</t>
        </is>
      </c>
      <c r="B192" s="7" t="inlineStr">
        <is>
          <t>Волхов, Новгородская ул., 7</t>
        </is>
      </c>
      <c r="C192" s="24">
        <f>HYPERLINK("https://www.avito.ru/volhov/uslugi/priem_i_vyvoz_metalloloma_sdat_lom_8023028862","8023028862")</f>
        <v/>
      </c>
      <c r="D192" s="24" t="inlineStr">
        <is>
          <t>Общее</t>
        </is>
      </c>
      <c r="E192" s="25" t="n">
        <v>1</v>
      </c>
      <c r="F192" s="25" t="n">
        <v>1</v>
      </c>
      <c r="G192" s="26" t="n">
        <v>1</v>
      </c>
      <c r="H192" s="24" t="n">
        <v>0</v>
      </c>
      <c r="I192" s="24" t="n">
        <v>1</v>
      </c>
      <c r="J192" s="27" t="n">
        <v>18.7</v>
      </c>
      <c r="K192" s="28" t="n">
        <v>18.7</v>
      </c>
    </row>
    <row r="193">
      <c r="A193" s="23" t="inlineStr">
        <is>
          <t>Услуги</t>
        </is>
      </c>
      <c r="B193" s="7" t="inlineStr">
        <is>
          <t>Тихвин, Право-Вологодский тупик, 9</t>
        </is>
      </c>
      <c r="C193" s="24">
        <f>HYPERLINK("https://www.avito.ru/tihvin/uslugi/priem_i_vyvoz_metalloloma_priem_metalla_8023033877","8023033877")</f>
        <v/>
      </c>
      <c r="D193" s="24" t="inlineStr">
        <is>
          <t>Общее</t>
        </is>
      </c>
      <c r="E193" s="25" t="n">
        <v>1</v>
      </c>
      <c r="F193" s="25" t="n">
        <v>0</v>
      </c>
      <c r="G193" s="26" t="n">
        <v>0</v>
      </c>
      <c r="H193" s="24" t="n">
        <v>0</v>
      </c>
      <c r="I193" s="24" t="n">
        <v>0</v>
      </c>
      <c r="J193" s="27" t="n">
        <v>0</v>
      </c>
      <c r="K193" s="28" t="n">
        <v>18.7</v>
      </c>
    </row>
    <row r="194">
      <c r="A194" s="23" t="inlineStr">
        <is>
          <t>Услуги</t>
        </is>
      </c>
      <c r="B194" s="7" t="inlineStr">
        <is>
          <t>Сланцы, Сланцевское ш., 32Б</t>
        </is>
      </c>
      <c r="C194" s="24">
        <f>HYPERLINK("https://www.avito.ru/slantsy/uslugi/priem_metalloloma_priem_chernogo_loma_8023054555","8023054555")</f>
        <v/>
      </c>
      <c r="D194" s="24" t="inlineStr">
        <is>
          <t>Чермет</t>
        </is>
      </c>
      <c r="E194" s="25" t="n">
        <v>1</v>
      </c>
      <c r="F194" s="25" t="n">
        <v>0</v>
      </c>
      <c r="G194" s="26" t="n">
        <v>0</v>
      </c>
      <c r="H194" s="24" t="n">
        <v>0</v>
      </c>
      <c r="I194" s="24" t="n">
        <v>0</v>
      </c>
      <c r="J194" s="27" t="n">
        <v>0</v>
      </c>
      <c r="K194" s="28" t="n">
        <v>18.7</v>
      </c>
    </row>
    <row r="195">
      <c r="A195" s="23" t="inlineStr">
        <is>
          <t>Услуги</t>
        </is>
      </c>
      <c r="B195" s="7" t="inlineStr">
        <is>
          <t>Санкт-Петербург, б-р Новаторов, 73к4А</t>
        </is>
      </c>
      <c r="C195" s="24">
        <f>HYPERLINK("https://www.avito.ru/sankt-peterburg/uslugi/priem_i_vyvoz_metalloloma_samovyvoz_loma_8023068585","8023068585")</f>
        <v/>
      </c>
      <c r="D195" s="24" t="inlineStr">
        <is>
          <t>Общее</t>
        </is>
      </c>
      <c r="E195" s="25" t="n">
        <v>1</v>
      </c>
      <c r="F195" s="25" t="n">
        <v>0</v>
      </c>
      <c r="G195" s="26" t="n">
        <v>0</v>
      </c>
      <c r="H195" s="24" t="n">
        <v>0</v>
      </c>
      <c r="I195" s="24" t="n">
        <v>0</v>
      </c>
      <c r="J195" s="27" t="n">
        <v>0</v>
      </c>
      <c r="K195" s="28" t="n">
        <v>20.4</v>
      </c>
    </row>
    <row r="196">
      <c r="A196" s="23" t="inlineStr">
        <is>
          <t>Услуги</t>
        </is>
      </c>
      <c r="B196" s="7" t="inlineStr">
        <is>
          <t>Кудрово, мкр-н Южное Кудрово</t>
        </is>
      </c>
      <c r="C196" s="24">
        <f>HYPERLINK("https://www.avito.ru/kudrovo/uslugi/priem_metalloloma_priem_chernogo_loma_8023070682","8023070682")</f>
        <v/>
      </c>
      <c r="D196" s="24" t="inlineStr">
        <is>
          <t>Чермет</t>
        </is>
      </c>
      <c r="E196" s="25" t="n">
        <v>1</v>
      </c>
      <c r="F196" s="25" t="n">
        <v>0</v>
      </c>
      <c r="G196" s="26" t="n">
        <v>0</v>
      </c>
      <c r="H196" s="24" t="n">
        <v>0</v>
      </c>
      <c r="I196" s="24" t="n">
        <v>0</v>
      </c>
      <c r="J196" s="27" t="n">
        <v>0</v>
      </c>
      <c r="K196" s="28" t="n">
        <v>18.7</v>
      </c>
    </row>
    <row r="197">
      <c r="A197" s="23" t="inlineStr">
        <is>
          <t>Услуги</t>
        </is>
      </c>
      <c r="B197" s="7" t="inlineStr">
        <is>
          <t>Подпорожье</t>
        </is>
      </c>
      <c r="C197" s="24">
        <f>HYPERLINK("https://www.avito.ru/podporozhe/uslugi/priem_metalloloma_priem_chernogo_loma_opt_8023075505","8023075505")</f>
        <v/>
      </c>
      <c r="D197" s="24" t="inlineStr">
        <is>
          <t>Чермет</t>
        </is>
      </c>
      <c r="E197" s="25" t="n">
        <v>1</v>
      </c>
      <c r="F197" s="25" t="n">
        <v>0</v>
      </c>
      <c r="G197" s="26" t="n">
        <v>0</v>
      </c>
      <c r="H197" s="24" t="n">
        <v>0</v>
      </c>
      <c r="I197" s="24" t="n">
        <v>0</v>
      </c>
      <c r="J197" s="27" t="n">
        <v>0</v>
      </c>
      <c r="K197" s="28" t="n">
        <v>18.7</v>
      </c>
    </row>
    <row r="198">
      <c r="A198" s="23" t="inlineStr">
        <is>
          <t>Услуги</t>
        </is>
      </c>
      <c r="B198" s="7" t="inlineStr">
        <is>
          <t>Санкт-Петербург, пр-т Науки, 19к1</t>
        </is>
      </c>
      <c r="C198" s="24">
        <f>HYPERLINK("https://www.avito.ru/sankt-peterburg/uslugi/priem_metalla_demontazh_priem_metalloloma_8023197803","8023197803")</f>
        <v/>
      </c>
      <c r="D198" s="24" t="inlineStr">
        <is>
          <t>Общее</t>
        </is>
      </c>
      <c r="E198" s="25" t="n">
        <v>1</v>
      </c>
      <c r="F198" s="25" t="n">
        <v>0</v>
      </c>
      <c r="G198" s="26" t="n">
        <v>0</v>
      </c>
      <c r="H198" s="24" t="n">
        <v>0</v>
      </c>
      <c r="I198" s="24" t="n">
        <v>0</v>
      </c>
      <c r="J198" s="27" t="n">
        <v>0</v>
      </c>
      <c r="K198" s="28" t="n">
        <v>20.4</v>
      </c>
    </row>
    <row r="199">
      <c r="A199" s="23" t="inlineStr">
        <is>
          <t>Услуги</t>
        </is>
      </c>
      <c r="B199" s="7" t="inlineStr">
        <is>
          <t>Санкт-Петербург, пр-т Стачек, 70</t>
        </is>
      </c>
      <c r="C199" s="24">
        <f>HYPERLINK("https://www.avito.ru/sankt-peterburg/uslugi/priem_metalloloma_demontazh_priem_metalla_8023210350","8023210350")</f>
        <v/>
      </c>
      <c r="D199" s="24" t="inlineStr">
        <is>
          <t>Общее</t>
        </is>
      </c>
      <c r="E199" s="25" t="n">
        <v>1</v>
      </c>
      <c r="F199" s="25" t="n">
        <v>0</v>
      </c>
      <c r="G199" s="26" t="n">
        <v>0</v>
      </c>
      <c r="H199" s="24" t="n">
        <v>0</v>
      </c>
      <c r="I199" s="24" t="n">
        <v>0</v>
      </c>
      <c r="J199" s="27" t="n">
        <v>0</v>
      </c>
      <c r="K199" s="28" t="n">
        <v>20.4</v>
      </c>
    </row>
    <row r="200">
      <c r="A200" s="23" t="inlineStr">
        <is>
          <t>Услуги</t>
        </is>
      </c>
      <c r="B200" s="7" t="inlineStr">
        <is>
          <t>Невель, ул. Урицкого, 116</t>
        </is>
      </c>
      <c r="C200" s="24">
        <f>HYPERLINK("https://www.avito.ru/nevel/uslugi/priem_metalloloma_priem_chernogo_loma_8023228703","8023228703")</f>
        <v/>
      </c>
      <c r="D200" s="24" t="inlineStr">
        <is>
          <t>Чермет</t>
        </is>
      </c>
      <c r="E200" s="25" t="n">
        <v>1</v>
      </c>
      <c r="F200" s="25" t="n">
        <v>0</v>
      </c>
      <c r="G200" s="26" t="n">
        <v>0</v>
      </c>
      <c r="H200" s="24" t="n">
        <v>0</v>
      </c>
      <c r="I200" s="24" t="n">
        <v>0</v>
      </c>
      <c r="J200" s="27" t="n">
        <v>0</v>
      </c>
      <c r="K200" s="28" t="n">
        <v>5.1</v>
      </c>
    </row>
    <row r="201">
      <c r="A201" s="23" t="inlineStr">
        <is>
          <t>Услуги</t>
        </is>
      </c>
      <c r="B201" s="7" t="inlineStr">
        <is>
          <t>Шлиссельбург, ул. Красный Тракт, 7А</t>
        </is>
      </c>
      <c r="C201" s="24">
        <f>HYPERLINK("https://www.avito.ru/shlisselburg/uslugi/priem_metalloloma_priem_chernogo_loma_opt_8023234309","8023234309")</f>
        <v/>
      </c>
      <c r="D201" s="24" t="inlineStr">
        <is>
          <t>Чермет</t>
        </is>
      </c>
      <c r="E201" s="25" t="n">
        <v>1</v>
      </c>
      <c r="F201" s="25" t="n">
        <v>0</v>
      </c>
      <c r="G201" s="26" t="n">
        <v>0</v>
      </c>
      <c r="H201" s="24" t="n">
        <v>0</v>
      </c>
      <c r="I201" s="24" t="n">
        <v>0</v>
      </c>
      <c r="J201" s="27" t="n">
        <v>0</v>
      </c>
      <c r="K201" s="28" t="n">
        <v>18.7</v>
      </c>
    </row>
    <row r="202">
      <c r="A202" s="23" t="inlineStr">
        <is>
          <t>Услуги</t>
        </is>
      </c>
      <c r="B202" s="7" t="inlineStr">
        <is>
          <t>Санкт-Петербург, Бухарестская ул.</t>
        </is>
      </c>
      <c r="C202" s="24">
        <f>HYPERLINK("https://www.avito.ru/sankt-peterburg/uslugi/priem_metalloloma_demontazh_vyvoz_metalla_8023240596","8023240596")</f>
        <v/>
      </c>
      <c r="D202" s="24" t="inlineStr">
        <is>
          <t>Общее</t>
        </is>
      </c>
      <c r="E202" s="25" t="n">
        <v>1</v>
      </c>
      <c r="F202" s="25" t="n">
        <v>0</v>
      </c>
      <c r="G202" s="26" t="n">
        <v>0</v>
      </c>
      <c r="H202" s="24" t="n">
        <v>0</v>
      </c>
      <c r="I202" s="24" t="n">
        <v>0</v>
      </c>
      <c r="J202" s="27" t="n">
        <v>0</v>
      </c>
      <c r="K202" s="28" t="n">
        <v>20.4</v>
      </c>
    </row>
    <row r="203">
      <c r="A203" s="23" t="inlineStr">
        <is>
          <t>Услуги</t>
        </is>
      </c>
      <c r="B203" s="7" t="inlineStr">
        <is>
          <t>Кингисепп, ул. Дорожников, 35</t>
        </is>
      </c>
      <c r="C203" s="24">
        <f>HYPERLINK("https://www.avito.ru/kingisepp/uslugi/priem_metalloloma_priem_chernogo_loma_8023301062","8023301062")</f>
        <v/>
      </c>
      <c r="D203" s="24" t="inlineStr">
        <is>
          <t>Чермет</t>
        </is>
      </c>
      <c r="E203" s="25" t="n">
        <v>1</v>
      </c>
      <c r="F203" s="25" t="n">
        <v>0</v>
      </c>
      <c r="G203" s="26" t="n">
        <v>0</v>
      </c>
      <c r="H203" s="24" t="n">
        <v>0</v>
      </c>
      <c r="I203" s="24" t="n">
        <v>0</v>
      </c>
      <c r="J203" s="27" t="n">
        <v>0</v>
      </c>
      <c r="K203" s="28" t="n">
        <v>18.7</v>
      </c>
    </row>
    <row r="204">
      <c r="A204" s="23" t="inlineStr">
        <is>
          <t>Услуги</t>
        </is>
      </c>
      <c r="B204" s="7" t="inlineStr">
        <is>
          <t>городской пос. Лебяжье, Строительная ул., 10</t>
        </is>
      </c>
      <c r="C204" s="24">
        <f>HYPERLINK("https://www.avito.ru/leningradskaya_oblast_lebyazhe/uslugi/priem_metalla_demontazh_priem_metalloloma_8023332563","8023332563")</f>
        <v/>
      </c>
      <c r="D204" s="24" t="inlineStr">
        <is>
          <t>Общее</t>
        </is>
      </c>
      <c r="E204" s="25" t="n">
        <v>1</v>
      </c>
      <c r="F204" s="25" t="n">
        <v>0</v>
      </c>
      <c r="G204" s="26" t="n">
        <v>0</v>
      </c>
      <c r="H204" s="24" t="n">
        <v>0</v>
      </c>
      <c r="I204" s="24" t="n">
        <v>0</v>
      </c>
      <c r="J204" s="27" t="n">
        <v>0</v>
      </c>
      <c r="K204" s="28" t="n">
        <v>18.7</v>
      </c>
    </row>
    <row r="205">
      <c r="A205" s="23" t="inlineStr">
        <is>
          <t>Услуги</t>
        </is>
      </c>
      <c r="B205" s="7" t="inlineStr">
        <is>
          <t>Колтуши, Новосергиевский пр., 5Б</t>
        </is>
      </c>
      <c r="C205" s="24">
        <f>HYPERLINK("https://www.avito.ru/staraya/uslugi/priem_metalloloma_vyvoz_metalloloma_8023354444","8023354444")</f>
        <v/>
      </c>
      <c r="D205" s="24" t="inlineStr">
        <is>
          <t>Общее</t>
        </is>
      </c>
      <c r="E205" s="25" t="n">
        <v>1</v>
      </c>
      <c r="F205" s="25" t="n">
        <v>0</v>
      </c>
      <c r="G205" s="26" t="n">
        <v>0</v>
      </c>
      <c r="H205" s="24" t="n">
        <v>0</v>
      </c>
      <c r="I205" s="24" t="n">
        <v>0</v>
      </c>
      <c r="J205" s="27" t="n">
        <v>0</v>
      </c>
      <c r="K205" s="28" t="n">
        <v>18.7</v>
      </c>
    </row>
    <row r="206">
      <c r="A206" s="23" t="inlineStr">
        <is>
          <t>Услуги</t>
        </is>
      </c>
      <c r="B206" s="7" t="inlineStr">
        <is>
          <t>Гатчина, ул. Старая Дорога, 2</t>
        </is>
      </c>
      <c r="C206" s="24">
        <f>HYPERLINK("https://www.avito.ru/gatchina/uslugi/priem_i_vyvoz_metalloloma_priem_metalla_8023409783","8023409783")</f>
        <v/>
      </c>
      <c r="D206" s="24" t="inlineStr">
        <is>
          <t>Общее</t>
        </is>
      </c>
      <c r="E206" s="25" t="n">
        <v>1</v>
      </c>
      <c r="F206" s="25" t="n">
        <v>0</v>
      </c>
      <c r="G206" s="26" t="n">
        <v>0</v>
      </c>
      <c r="H206" s="24" t="n">
        <v>0</v>
      </c>
      <c r="I206" s="24" t="n">
        <v>0</v>
      </c>
      <c r="J206" s="27" t="n">
        <v>0</v>
      </c>
      <c r="K206" s="28" t="n">
        <v>18.7</v>
      </c>
    </row>
    <row r="207">
      <c r="A207" s="23" t="inlineStr">
        <is>
          <t>Услуги</t>
        </is>
      </c>
      <c r="B207" s="7" t="inlineStr">
        <is>
          <t>Санкт-Петербург, ул. Савушкина, 2</t>
        </is>
      </c>
      <c r="C207" s="24">
        <f>HYPERLINK("https://www.avito.ru/sankt-peterburg/uslugi/priem_i_vyvoz_metalloloma_priem_redkih_metallov_8023414338","8023414338")</f>
        <v/>
      </c>
      <c r="D207" s="24" t="inlineStr">
        <is>
          <t>РЗМ</t>
        </is>
      </c>
      <c r="E207" s="25" t="n">
        <v>1</v>
      </c>
      <c r="F207" s="25" t="n">
        <v>0</v>
      </c>
      <c r="G207" s="26" t="n">
        <v>0</v>
      </c>
      <c r="H207" s="24" t="n">
        <v>0</v>
      </c>
      <c r="I207" s="24" t="n">
        <v>0</v>
      </c>
      <c r="J207" s="27" t="n">
        <v>0</v>
      </c>
      <c r="K207" s="28" t="n">
        <v>20.4</v>
      </c>
    </row>
    <row r="208">
      <c r="A208" s="23" t="inlineStr">
        <is>
          <t>Услуги</t>
        </is>
      </c>
      <c r="B208" s="7" t="inlineStr">
        <is>
          <t>Никольское</t>
        </is>
      </c>
      <c r="C208" s="24">
        <f>HYPERLINK("https://www.avito.ru/leningradskaya_oblast_nikolskoe/uslugi/priem_loma_tsvetnyh_metallov_8023459410","8023459410")</f>
        <v/>
      </c>
      <c r="D208" s="24" t="inlineStr">
        <is>
          <t>Цветмет</t>
        </is>
      </c>
      <c r="E208" s="25" t="n">
        <v>1</v>
      </c>
      <c r="F208" s="25" t="n">
        <v>0</v>
      </c>
      <c r="G208" s="26" t="n">
        <v>0</v>
      </c>
      <c r="H208" s="24" t="n">
        <v>0</v>
      </c>
      <c r="I208" s="24" t="n">
        <v>0</v>
      </c>
      <c r="J208" s="27" t="n">
        <v>0</v>
      </c>
      <c r="K208" s="28" t="n">
        <v>18.7</v>
      </c>
    </row>
    <row r="209">
      <c r="A209" s="23" t="inlineStr">
        <is>
          <t>Услуги</t>
        </is>
      </c>
      <c r="B209" s="7" t="inlineStr">
        <is>
          <t>Приморск, наб. Лебедева</t>
        </is>
      </c>
      <c r="C209" s="24">
        <f>HYPERLINK("https://www.avito.ru/leningradskaya_oblast_primorsk/uslugi/priem_metalloloma_priem_tsvetnogo_loma_8023499507","8023499507")</f>
        <v/>
      </c>
      <c r="D209" s="24" t="inlineStr">
        <is>
          <t>Цветмет</t>
        </is>
      </c>
      <c r="E209" s="25" t="n">
        <v>1</v>
      </c>
      <c r="F209" s="25" t="n">
        <v>0</v>
      </c>
      <c r="G209" s="26" t="n">
        <v>0</v>
      </c>
      <c r="H209" s="24" t="n">
        <v>0</v>
      </c>
      <c r="I209" s="24" t="n">
        <v>0</v>
      </c>
      <c r="J209" s="27" t="n">
        <v>0</v>
      </c>
      <c r="K209" s="28" t="n">
        <v>0</v>
      </c>
    </row>
    <row r="210">
      <c r="A210" s="23" t="inlineStr">
        <is>
          <t>Услуги</t>
        </is>
      </c>
      <c r="B210" s="7" t="inlineStr">
        <is>
          <t>городской пос. Новоселье, Красносельское ш.</t>
        </is>
      </c>
      <c r="C210" s="24">
        <f>HYPERLINK("https://www.avito.ru/novoselie/uslugi/priem_metalloloma_priem_chernogo_loma_8023505413","8023505413")</f>
        <v/>
      </c>
      <c r="D210" s="24" t="inlineStr">
        <is>
          <t>Чермет</t>
        </is>
      </c>
      <c r="E210" s="25" t="n">
        <v>1</v>
      </c>
      <c r="F210" s="25" t="n">
        <v>0</v>
      </c>
      <c r="G210" s="26" t="n">
        <v>0</v>
      </c>
      <c r="H210" s="24" t="n">
        <v>0</v>
      </c>
      <c r="I210" s="24" t="n">
        <v>0</v>
      </c>
      <c r="J210" s="27" t="n">
        <v>0</v>
      </c>
      <c r="K210" s="28" t="n">
        <v>18.7</v>
      </c>
    </row>
    <row r="211">
      <c r="A211" s="23" t="inlineStr">
        <is>
          <t>Услуги</t>
        </is>
      </c>
      <c r="B211" s="7" t="inlineStr">
        <is>
          <t>Колтуши, Новосергиевский пр., 5Б</t>
        </is>
      </c>
      <c r="C211" s="24">
        <f>HYPERLINK("https://www.avito.ru/staraya/uslugi/priem_metalloloma_priem_chernogo_loma_opt_8023521575","8023521575")</f>
        <v/>
      </c>
      <c r="D211" s="24" t="inlineStr">
        <is>
          <t>Чермет</t>
        </is>
      </c>
      <c r="E211" s="25" t="n">
        <v>1</v>
      </c>
      <c r="F211" s="25" t="n">
        <v>0</v>
      </c>
      <c r="G211" s="26" t="n">
        <v>0</v>
      </c>
      <c r="H211" s="24" t="n">
        <v>0</v>
      </c>
      <c r="I211" s="24" t="n">
        <v>0</v>
      </c>
      <c r="J211" s="27" t="n">
        <v>0</v>
      </c>
      <c r="K211" s="28" t="n">
        <v>18.7</v>
      </c>
    </row>
    <row r="212">
      <c r="A212" s="23" t="inlineStr">
        <is>
          <t>Услуги</t>
        </is>
      </c>
      <c r="B212" s="7" t="inlineStr">
        <is>
          <t>Вытегра, Вологодская ул., 1</t>
        </is>
      </c>
      <c r="C212" s="24">
        <f>HYPERLINK("https://www.avito.ru/vytegra/uslugi/priem_metalloloma_vyvoz_metalloloma_8023544567","8023544567")</f>
        <v/>
      </c>
      <c r="D212" s="24" t="inlineStr">
        <is>
          <t>Общее</t>
        </is>
      </c>
      <c r="E212" s="25" t="n">
        <v>1</v>
      </c>
      <c r="F212" s="25" t="n">
        <v>0</v>
      </c>
      <c r="G212" s="26" t="n">
        <v>0</v>
      </c>
      <c r="H212" s="24" t="n">
        <v>0</v>
      </c>
      <c r="I212" s="24" t="n">
        <v>0</v>
      </c>
      <c r="J212" s="27" t="n">
        <v>0</v>
      </c>
      <c r="K212" s="28" t="n">
        <v>5.1</v>
      </c>
    </row>
    <row r="213">
      <c r="A213" s="23" t="inlineStr">
        <is>
          <t>Услуги</t>
        </is>
      </c>
      <c r="B213" s="7" t="inlineStr">
        <is>
          <t>Санкт-Петербург, Гражданский пр-т, 116к1</t>
        </is>
      </c>
      <c r="C213" s="24">
        <f>HYPERLINK("https://www.avito.ru/sankt-peterburg/uslugi/priem_metalloloma_priem_chernogo_loma_8023553027","8023553027")</f>
        <v/>
      </c>
      <c r="D213" s="24" t="inlineStr">
        <is>
          <t>Чермет</t>
        </is>
      </c>
      <c r="E213" s="25" t="n">
        <v>1</v>
      </c>
      <c r="F213" s="25" t="n">
        <v>0</v>
      </c>
      <c r="G213" s="26" t="n">
        <v>0</v>
      </c>
      <c r="H213" s="24" t="n">
        <v>0</v>
      </c>
      <c r="I213" s="24" t="n">
        <v>0</v>
      </c>
      <c r="J213" s="27" t="n">
        <v>0</v>
      </c>
      <c r="K213" s="28" t="n">
        <v>20.4</v>
      </c>
    </row>
    <row r="214">
      <c r="A214" s="23" t="inlineStr">
        <is>
          <t>Услуги</t>
        </is>
      </c>
      <c r="B214" s="7" t="inlineStr">
        <is>
          <t>Санкт-Петербург, Заневский пр-т, 69</t>
        </is>
      </c>
      <c r="C214" s="24">
        <f>HYPERLINK("https://www.avito.ru/sankt-peterburg/uslugi/priem_metalloloma_skupka_metalla_8023563857","8023563857")</f>
        <v/>
      </c>
      <c r="D214" s="24" t="inlineStr">
        <is>
          <t>Общее</t>
        </is>
      </c>
      <c r="E214" s="25" t="n">
        <v>1</v>
      </c>
      <c r="F214" s="25" t="n">
        <v>0</v>
      </c>
      <c r="G214" s="26" t="n">
        <v>0</v>
      </c>
      <c r="H214" s="24" t="n">
        <v>0</v>
      </c>
      <c r="I214" s="24" t="n">
        <v>0</v>
      </c>
      <c r="J214" s="27" t="n">
        <v>0</v>
      </c>
      <c r="K214" s="28" t="n">
        <v>20.4</v>
      </c>
    </row>
    <row r="215">
      <c r="A215" s="23" t="inlineStr">
        <is>
          <t>Услуги</t>
        </is>
      </c>
      <c r="B215" s="7" t="inlineStr">
        <is>
          <t>Боровичи, Новгородская ул., 1</t>
        </is>
      </c>
      <c r="C215" s="24">
        <f>HYPERLINK("https://www.avito.ru/borovichi/uslugi/priem_i_vyvoz_metalloloma_sdat_lom_8023592758","8023592758")</f>
        <v/>
      </c>
      <c r="D215" s="24" t="inlineStr">
        <is>
          <t>Общее</t>
        </is>
      </c>
      <c r="E215" s="25" t="n">
        <v>1</v>
      </c>
      <c r="F215" s="25" t="n">
        <v>0</v>
      </c>
      <c r="G215" s="26" t="n">
        <v>0</v>
      </c>
      <c r="H215" s="24" t="n">
        <v>0</v>
      </c>
      <c r="I215" s="24" t="n">
        <v>0</v>
      </c>
      <c r="J215" s="27" t="n">
        <v>0</v>
      </c>
      <c r="K215" s="28" t="n">
        <v>5.1</v>
      </c>
    </row>
    <row r="216">
      <c r="A216" s="23" t="inlineStr">
        <is>
          <t>Услуги</t>
        </is>
      </c>
      <c r="B216" s="7" t="inlineStr">
        <is>
          <t>Приморск, наб. Лебедева</t>
        </is>
      </c>
      <c r="C216" s="24">
        <f>HYPERLINK("https://www.avito.ru/leningradskaya_oblast_primorsk/uslugi/priem_i_vyvoz_metalloloma_priem_redkih_metallov_8023603218","8023603218")</f>
        <v/>
      </c>
      <c r="D216" s="24" t="inlineStr">
        <is>
          <t>РЗМ</t>
        </is>
      </c>
      <c r="E216" s="25" t="n">
        <v>1</v>
      </c>
      <c r="F216" s="25" t="n">
        <v>1</v>
      </c>
      <c r="G216" s="26" t="n">
        <v>1</v>
      </c>
      <c r="H216" s="24" t="n">
        <v>1</v>
      </c>
      <c r="I216" s="24" t="n">
        <v>0</v>
      </c>
      <c r="J216" s="27" t="n">
        <v>18.7</v>
      </c>
      <c r="K216" s="28" t="n">
        <v>18.7</v>
      </c>
    </row>
    <row r="217">
      <c r="A217" s="23" t="inlineStr">
        <is>
          <t>Услуги</t>
        </is>
      </c>
      <c r="B217" s="7" t="inlineStr">
        <is>
          <t>Мурино, Центральная ул., 50А</t>
        </is>
      </c>
      <c r="C217" s="24">
        <f>HYPERLINK("https://www.avito.ru/murino/uslugi/priem_metalloloma_priem_tsvetnogo_loma_8023648921","8023648921")</f>
        <v/>
      </c>
      <c r="D217" s="24" t="inlineStr">
        <is>
          <t>Цветмет</t>
        </is>
      </c>
      <c r="E217" s="25" t="n">
        <v>1</v>
      </c>
      <c r="F217" s="25" t="n">
        <v>0</v>
      </c>
      <c r="G217" s="26" t="n">
        <v>0</v>
      </c>
      <c r="H217" s="24" t="n">
        <v>0</v>
      </c>
      <c r="I217" s="24" t="n">
        <v>0</v>
      </c>
      <c r="J217" s="27" t="n">
        <v>0</v>
      </c>
      <c r="K217" s="28" t="n">
        <v>18.7</v>
      </c>
    </row>
    <row r="218">
      <c r="A218" s="23" t="inlineStr">
        <is>
          <t>Услуги</t>
        </is>
      </c>
      <c r="B218" s="7" t="inlineStr">
        <is>
          <t>Сертолово, Песочная ул., 8к1</t>
        </is>
      </c>
      <c r="C218" s="24">
        <f>HYPERLINK("https://www.avito.ru/sertolovo/uslugi/priem_metalla_sdat_lom_vyvoz_loma_8023667255","8023667255")</f>
        <v/>
      </c>
      <c r="D218" s="24" t="inlineStr">
        <is>
          <t>Общее</t>
        </is>
      </c>
      <c r="E218" s="25" t="n">
        <v>1</v>
      </c>
      <c r="F218" s="25" t="n">
        <v>0</v>
      </c>
      <c r="G218" s="26" t="n">
        <v>0</v>
      </c>
      <c r="H218" s="24" t="n">
        <v>0</v>
      </c>
      <c r="I218" s="24" t="n">
        <v>0</v>
      </c>
      <c r="J218" s="27" t="n">
        <v>0</v>
      </c>
      <c r="K218" s="28" t="n">
        <v>18.7</v>
      </c>
    </row>
    <row r="219">
      <c r="A219" s="23" t="inlineStr">
        <is>
          <t>Услуги</t>
        </is>
      </c>
      <c r="B219" s="7" t="inlineStr">
        <is>
          <t>Остров, ул. Карла Маркса, 90Б</t>
        </is>
      </c>
      <c r="C219" s="24">
        <f>HYPERLINK("https://www.avito.ru/ostrov/uslugi/priem_metalla_demontazh_priem_metalloloma_8023687091","8023687091")</f>
        <v/>
      </c>
      <c r="D219" s="24" t="inlineStr">
        <is>
          <t>Общее</t>
        </is>
      </c>
      <c r="E219" s="25" t="n">
        <v>1</v>
      </c>
      <c r="F219" s="25" t="n">
        <v>0</v>
      </c>
      <c r="G219" s="26" t="n">
        <v>0</v>
      </c>
      <c r="H219" s="24" t="n">
        <v>0</v>
      </c>
      <c r="I219" s="24" t="n">
        <v>0</v>
      </c>
      <c r="J219" s="27" t="n">
        <v>0</v>
      </c>
      <c r="K219" s="28" t="n">
        <v>5.1</v>
      </c>
    </row>
    <row r="220">
      <c r="A220" s="23" t="inlineStr">
        <is>
          <t>Услуги</t>
        </is>
      </c>
      <c r="B220" s="7" t="inlineStr">
        <is>
          <t>Санкт-Петербург, Дворцовая пл.</t>
        </is>
      </c>
      <c r="C220" s="24">
        <f>HYPERLINK("https://www.avito.ru/sankt-peterburg/uslugi/priem_metalla_sdat_lom_vyvoz_loma_8023700811","8023700811")</f>
        <v/>
      </c>
      <c r="D220" s="24" t="inlineStr">
        <is>
          <t>Общее</t>
        </is>
      </c>
      <c r="E220" s="25" t="n">
        <v>1</v>
      </c>
      <c r="F220" s="25" t="n">
        <v>1</v>
      </c>
      <c r="G220" s="26" t="n">
        <v>1</v>
      </c>
      <c r="H220" s="24" t="n">
        <v>0</v>
      </c>
      <c r="I220" s="24" t="n">
        <v>1</v>
      </c>
      <c r="J220" s="27" t="n">
        <v>20.4</v>
      </c>
      <c r="K220" s="28" t="n">
        <v>20.4</v>
      </c>
    </row>
    <row r="221">
      <c r="A221" s="23" t="inlineStr">
        <is>
          <t>Услуги</t>
        </is>
      </c>
      <c r="B221" s="7" t="inlineStr">
        <is>
          <t>Ивангород, Кингисеппское ш.</t>
        </is>
      </c>
      <c r="C221" s="24">
        <f>HYPERLINK("https://www.avito.ru/ivangorod/uslugi/priem_metalloloma_demontazh_vyvoz_metalla_8023757371","8023757371")</f>
        <v/>
      </c>
      <c r="D221" s="24" t="inlineStr">
        <is>
          <t>Общее</t>
        </is>
      </c>
      <c r="E221" s="25" t="n">
        <v>1</v>
      </c>
      <c r="F221" s="25" t="n">
        <v>0</v>
      </c>
      <c r="G221" s="26" t="n">
        <v>0</v>
      </c>
      <c r="H221" s="24" t="n">
        <v>0</v>
      </c>
      <c r="I221" s="24" t="n">
        <v>0</v>
      </c>
      <c r="J221" s="27" t="n">
        <v>0</v>
      </c>
      <c r="K221" s="28" t="n">
        <v>18.7</v>
      </c>
    </row>
    <row r="222">
      <c r="A222" s="23" t="inlineStr">
        <is>
          <t>Услуги</t>
        </is>
      </c>
      <c r="B222" s="7" t="inlineStr">
        <is>
          <t>Всеволожск, Лиственная ул., 16</t>
        </is>
      </c>
      <c r="C222" s="24">
        <f>HYPERLINK("https://www.avito.ru/vsevolozhsk/uslugi/priem_metalla_demontazh_priem_metalloloma_8023772773","8023772773")</f>
        <v/>
      </c>
      <c r="D222" s="24" t="inlineStr">
        <is>
          <t>Общее</t>
        </is>
      </c>
      <c r="E222" s="25" t="n">
        <v>1</v>
      </c>
      <c r="F222" s="25" t="n">
        <v>0</v>
      </c>
      <c r="G222" s="26" t="n">
        <v>0</v>
      </c>
      <c r="H222" s="24" t="n">
        <v>0</v>
      </c>
      <c r="I222" s="24" t="n">
        <v>0</v>
      </c>
      <c r="J222" s="27" t="n">
        <v>0</v>
      </c>
      <c r="K222" s="28" t="n">
        <v>18.7</v>
      </c>
    </row>
    <row r="223">
      <c r="A223" s="23" t="inlineStr">
        <is>
          <t>Услуги</t>
        </is>
      </c>
      <c r="B223" s="7" t="inlineStr">
        <is>
          <t>Санкт-Петербург, пл. Стачек</t>
        </is>
      </c>
      <c r="C223" s="24">
        <f>HYPERLINK("https://www.avito.ru/sankt-peterburg/uslugi/priem_metalloloma_priem_chernogo_loma_8023857552","8023857552")</f>
        <v/>
      </c>
      <c r="D223" s="24" t="inlineStr">
        <is>
          <t>Чермет</t>
        </is>
      </c>
      <c r="E223" s="25" t="n">
        <v>1</v>
      </c>
      <c r="F223" s="25" t="n">
        <v>0</v>
      </c>
      <c r="G223" s="26" t="n">
        <v>0</v>
      </c>
      <c r="H223" s="24" t="n">
        <v>0</v>
      </c>
      <c r="I223" s="24" t="n">
        <v>0</v>
      </c>
      <c r="J223" s="27" t="n">
        <v>0</v>
      </c>
      <c r="K223" s="28" t="n">
        <v>20.4</v>
      </c>
    </row>
    <row r="224">
      <c r="A224" s="23" t="inlineStr">
        <is>
          <t>Услуги</t>
        </is>
      </c>
      <c r="B224" s="7" t="inlineStr">
        <is>
          <t>Каменногорск, Ленинградское ш.</t>
        </is>
      </c>
      <c r="C224" s="24">
        <f>HYPERLINK("https://www.avito.ru/kamennogorsk/uslugi/priem_metalloloma_priem_chernogo_loma_opt_8022910285","8022910285")</f>
        <v/>
      </c>
      <c r="D224" s="24" t="inlineStr">
        <is>
          <t>Чермет</t>
        </is>
      </c>
      <c r="E224" s="25" t="n">
        <v>0</v>
      </c>
      <c r="F224" s="25" t="n">
        <v>0</v>
      </c>
      <c r="G224" s="26" t="n">
        <v>0</v>
      </c>
      <c r="H224" s="24" t="n">
        <v>0</v>
      </c>
      <c r="I224" s="24" t="n">
        <v>0</v>
      </c>
      <c r="J224" s="27" t="n">
        <v>0</v>
      </c>
      <c r="K224" s="28" t="n">
        <v>0</v>
      </c>
    </row>
    <row r="225">
      <c r="A225" s="23" t="inlineStr">
        <is>
          <t>Услуги</t>
        </is>
      </c>
      <c r="B225" s="7" t="inlineStr">
        <is>
          <t>Санкт-Петербург, пл. Стачек</t>
        </is>
      </c>
      <c r="C225" s="24">
        <f>HYPERLINK("https://www.avito.ru/sankt-peterburg/uslugi/priem_i_vyvoz_metalloloma_priem_metalla_8022913806","8022913806")</f>
        <v/>
      </c>
      <c r="D225" s="24" t="inlineStr">
        <is>
          <t>Общее</t>
        </is>
      </c>
      <c r="E225" s="25" t="n">
        <v>0</v>
      </c>
      <c r="F225" s="25" t="n">
        <v>0</v>
      </c>
      <c r="G225" s="26" t="n">
        <v>0</v>
      </c>
      <c r="H225" s="24" t="n">
        <v>0</v>
      </c>
      <c r="I225" s="24" t="n">
        <v>0</v>
      </c>
      <c r="J225" s="27" t="n">
        <v>0</v>
      </c>
      <c r="K225" s="28" t="n">
        <v>0</v>
      </c>
    </row>
    <row r="226">
      <c r="A226" s="23" t="inlineStr">
        <is>
          <t>Услуги</t>
        </is>
      </c>
      <c r="B226" s="7" t="inlineStr">
        <is>
          <t>Шлиссельбург, ул. Красный Тракт, 7А</t>
        </is>
      </c>
      <c r="C226" s="24">
        <f>HYPERLINK("https://www.avito.ru/shlisselburg/uslugi/priem_metalla_demontazh_priem_metalloloma_8022921132","8022921132")</f>
        <v/>
      </c>
      <c r="D226" s="24" t="inlineStr">
        <is>
          <t>Общее</t>
        </is>
      </c>
      <c r="E226" s="25" t="n">
        <v>0</v>
      </c>
      <c r="F226" s="25" t="n">
        <v>0</v>
      </c>
      <c r="G226" s="26" t="n">
        <v>0</v>
      </c>
      <c r="H226" s="24" t="n">
        <v>0</v>
      </c>
      <c r="I226" s="24" t="n">
        <v>0</v>
      </c>
      <c r="J226" s="27" t="n">
        <v>0</v>
      </c>
      <c r="K226" s="28" t="n">
        <v>0</v>
      </c>
    </row>
    <row r="227">
      <c r="A227" s="23" t="inlineStr">
        <is>
          <t>Услуги</t>
        </is>
      </c>
      <c r="B227" s="7" t="inlineStr">
        <is>
          <t>Мурино, Центральная ул., 50А</t>
        </is>
      </c>
      <c r="C227" s="24">
        <f>HYPERLINK("https://www.avito.ru/murino/uslugi/priem_i_vyvoz_metalloloma_priem_metalla_8022928449","8022928449")</f>
        <v/>
      </c>
      <c r="D227" s="24" t="inlineStr">
        <is>
          <t>Общее</t>
        </is>
      </c>
      <c r="E227" s="25" t="n">
        <v>0</v>
      </c>
      <c r="F227" s="25" t="n">
        <v>0</v>
      </c>
      <c r="G227" s="26" t="n">
        <v>0</v>
      </c>
      <c r="H227" s="24" t="n">
        <v>0</v>
      </c>
      <c r="I227" s="24" t="n">
        <v>0</v>
      </c>
      <c r="J227" s="27" t="n">
        <v>0</v>
      </c>
      <c r="K227" s="28" t="n">
        <v>0</v>
      </c>
    </row>
    <row r="228">
      <c r="A228" s="23" t="inlineStr">
        <is>
          <t>Услуги</t>
        </is>
      </c>
      <c r="B228" s="7" t="inlineStr">
        <is>
          <t>городской пос. Янино-1, Кольцевая ул., 3</t>
        </is>
      </c>
      <c r="C228" s="24">
        <f>HYPERLINK("https://www.avito.ru/yanino-1/uslugi/priem_i_vyvoz_metalloloma_sdat_lom_8022937882","8022937882")</f>
        <v/>
      </c>
      <c r="D228" s="24" t="inlineStr">
        <is>
          <t>Общее</t>
        </is>
      </c>
      <c r="E228" s="25" t="n">
        <v>0</v>
      </c>
      <c r="F228" s="25" t="n">
        <v>0</v>
      </c>
      <c r="G228" s="26" t="n">
        <v>0</v>
      </c>
      <c r="H228" s="24" t="n">
        <v>0</v>
      </c>
      <c r="I228" s="24" t="n">
        <v>0</v>
      </c>
      <c r="J228" s="27" t="n">
        <v>0</v>
      </c>
      <c r="K228" s="28" t="n">
        <v>0</v>
      </c>
    </row>
    <row r="229">
      <c r="A229" s="23" t="inlineStr">
        <is>
          <t>Услуги</t>
        </is>
      </c>
      <c r="B229" s="7" t="inlineStr">
        <is>
          <t>Волосово, ул. Восстания, 6</t>
        </is>
      </c>
      <c r="C229" s="24">
        <f>HYPERLINK("https://www.avito.ru/volosovo/uslugi/priem_metalloloma_skupka_metalla_8022943619","8022943619")</f>
        <v/>
      </c>
      <c r="D229" s="24" t="inlineStr">
        <is>
          <t>Общее</t>
        </is>
      </c>
      <c r="E229" s="25" t="n">
        <v>0</v>
      </c>
      <c r="F229" s="25" t="n">
        <v>0</v>
      </c>
      <c r="G229" s="26" t="n">
        <v>0</v>
      </c>
      <c r="H229" s="24" t="n">
        <v>0</v>
      </c>
      <c r="I229" s="24" t="n">
        <v>0</v>
      </c>
      <c r="J229" s="27" t="n">
        <v>0</v>
      </c>
      <c r="K229" s="28" t="n">
        <v>0</v>
      </c>
    </row>
    <row r="230">
      <c r="A230" s="23" t="inlineStr">
        <is>
          <t>Услуги</t>
        </is>
      </c>
      <c r="B230" s="7" t="inlineStr">
        <is>
          <t>Высоцк, Центральная ул.</t>
        </is>
      </c>
      <c r="C230" s="24">
        <f>HYPERLINK("https://www.avito.ru/vysotsk/uslugi/priem_metalloloma_priem_loma_demontazh_8022957959","8022957959")</f>
        <v/>
      </c>
      <c r="D230" s="24" t="inlineStr">
        <is>
          <t>Общее</t>
        </is>
      </c>
      <c r="E230" s="25" t="n">
        <v>0</v>
      </c>
      <c r="F230" s="25" t="n">
        <v>0</v>
      </c>
      <c r="G230" s="26" t="n">
        <v>0</v>
      </c>
      <c r="H230" s="24" t="n">
        <v>0</v>
      </c>
      <c r="I230" s="24" t="n">
        <v>0</v>
      </c>
      <c r="J230" s="27" t="n">
        <v>0</v>
      </c>
      <c r="K230" s="28" t="n">
        <v>0</v>
      </c>
    </row>
    <row r="231">
      <c r="A231" s="23" t="inlineStr">
        <is>
          <t>Услуги</t>
        </is>
      </c>
      <c r="B231" s="7" t="inlineStr">
        <is>
          <t>Бугры, Шоссейная ул., 35Вк1</t>
        </is>
      </c>
      <c r="C231" s="24">
        <f>HYPERLINK("https://www.avito.ru/bugry/uslugi/priem_metalloloma_priem_chernogo_loma_8022965578","8022965578")</f>
        <v/>
      </c>
      <c r="D231" s="24" t="inlineStr">
        <is>
          <t>Чермет</t>
        </is>
      </c>
      <c r="E231" s="25" t="n">
        <v>0</v>
      </c>
      <c r="F231" s="25" t="n">
        <v>0</v>
      </c>
      <c r="G231" s="26" t="n">
        <v>0</v>
      </c>
      <c r="H231" s="24" t="n">
        <v>0</v>
      </c>
      <c r="I231" s="24" t="n">
        <v>0</v>
      </c>
      <c r="J231" s="27" t="n">
        <v>0</v>
      </c>
      <c r="K231" s="28" t="n">
        <v>0</v>
      </c>
    </row>
    <row r="232">
      <c r="A232" s="23" t="inlineStr">
        <is>
          <t>Услуги</t>
        </is>
      </c>
      <c r="B232" s="7" t="inlineStr">
        <is>
          <t>Светогорск</t>
        </is>
      </c>
      <c r="C232" s="24">
        <f>HYPERLINK("https://www.avito.ru/svetogorsk/uslugi/priem_metalloloma_priem_chernogo_loma_8023006182","8023006182")</f>
        <v/>
      </c>
      <c r="D232" s="24" t="inlineStr">
        <is>
          <t>Чермет</t>
        </is>
      </c>
      <c r="E232" s="25" t="n">
        <v>0</v>
      </c>
      <c r="F232" s="25" t="n">
        <v>0</v>
      </c>
      <c r="G232" s="26" t="n">
        <v>0</v>
      </c>
      <c r="H232" s="24" t="n">
        <v>0</v>
      </c>
      <c r="I232" s="24" t="n">
        <v>0</v>
      </c>
      <c r="J232" s="27" t="n">
        <v>0</v>
      </c>
      <c r="K232" s="28" t="n">
        <v>0</v>
      </c>
    </row>
    <row r="233">
      <c r="A233" s="23" t="inlineStr">
        <is>
          <t>Услуги</t>
        </is>
      </c>
      <c r="B233" s="7" t="inlineStr">
        <is>
          <t>д. Новое Девяткино, Главная ул., 48</t>
        </is>
      </c>
      <c r="C233" s="24">
        <f>HYPERLINK("https://www.avito.ru/novoe_devyatkino/uslugi/priem_metalloloma_priem_chernogo_loma_8023008151","8023008151")</f>
        <v/>
      </c>
      <c r="D233" s="24" t="inlineStr">
        <is>
          <t>Чермет</t>
        </is>
      </c>
      <c r="E233" s="25" t="n">
        <v>0</v>
      </c>
      <c r="F233" s="25" t="n">
        <v>0</v>
      </c>
      <c r="G233" s="26" t="n">
        <v>0</v>
      </c>
      <c r="H233" s="24" t="n">
        <v>0</v>
      </c>
      <c r="I233" s="24" t="n">
        <v>0</v>
      </c>
      <c r="J233" s="27" t="n">
        <v>0</v>
      </c>
      <c r="K233" s="28" t="n">
        <v>0</v>
      </c>
    </row>
    <row r="234">
      <c r="A234" s="23" t="inlineStr">
        <is>
          <t>Услуги</t>
        </is>
      </c>
      <c r="B234" s="7" t="inlineStr">
        <is>
          <t>Пестово, Луговая ул., 4</t>
        </is>
      </c>
      <c r="C234" s="24">
        <f>HYPERLINK("https://www.avito.ru/pestovo/uslugi/priem_metalloloma_vyvoz_metalloloma_8023017038","8023017038")</f>
        <v/>
      </c>
      <c r="D234" s="24" t="inlineStr">
        <is>
          <t>Общее</t>
        </is>
      </c>
      <c r="E234" s="25" t="n">
        <v>0</v>
      </c>
      <c r="F234" s="25" t="n">
        <v>0</v>
      </c>
      <c r="G234" s="26" t="n">
        <v>0</v>
      </c>
      <c r="H234" s="24" t="n">
        <v>0</v>
      </c>
      <c r="I234" s="24" t="n">
        <v>0</v>
      </c>
      <c r="J234" s="27" t="n">
        <v>0</v>
      </c>
      <c r="K234" s="28" t="n">
        <v>0</v>
      </c>
    </row>
    <row r="235">
      <c r="A235" s="23" t="inlineStr">
        <is>
          <t>Услуги</t>
        </is>
      </c>
      <c r="B235" s="7" t="inlineStr">
        <is>
          <t>Отрадное, Заводская ул., 1А</t>
        </is>
      </c>
      <c r="C235" s="24">
        <f>HYPERLINK("https://www.avito.ru/leningradskaya_oblast_otradnoe/uslugi/priem_loma_tsvetnyh_metallov_8023026756","8023026756")</f>
        <v/>
      </c>
      <c r="D235" s="24" t="inlineStr">
        <is>
          <t>Цветмет</t>
        </is>
      </c>
      <c r="E235" s="25" t="n">
        <v>0</v>
      </c>
      <c r="F235" s="25" t="n">
        <v>0</v>
      </c>
      <c r="G235" s="26" t="n">
        <v>0</v>
      </c>
      <c r="H235" s="24" t="n">
        <v>0</v>
      </c>
      <c r="I235" s="24" t="n">
        <v>0</v>
      </c>
      <c r="J235" s="27" t="n">
        <v>0</v>
      </c>
      <c r="K235" s="28" t="n">
        <v>0</v>
      </c>
    </row>
    <row r="236">
      <c r="A236" s="23" t="inlineStr">
        <is>
          <t>Услуги</t>
        </is>
      </c>
      <c r="B236" s="7" t="inlineStr">
        <is>
          <t>Приморск, наб. Лебедева</t>
        </is>
      </c>
      <c r="C236" s="24">
        <f>HYPERLINK("https://www.avito.ru/leningradskaya_oblast_primorsk/uslugi/priem_metalloloma_priem_chernogo_loma_8023035534","8023035534")</f>
        <v/>
      </c>
      <c r="D236" s="24" t="inlineStr">
        <is>
          <t>Чермет</t>
        </is>
      </c>
      <c r="E236" s="25" t="n">
        <v>0</v>
      </c>
      <c r="F236" s="25" t="n">
        <v>0</v>
      </c>
      <c r="G236" s="26" t="n">
        <v>0</v>
      </c>
      <c r="H236" s="24" t="n">
        <v>0</v>
      </c>
      <c r="I236" s="24" t="n">
        <v>0</v>
      </c>
      <c r="J236" s="27" t="n">
        <v>0</v>
      </c>
      <c r="K236" s="28" t="n">
        <v>0</v>
      </c>
    </row>
    <row r="237">
      <c r="A237" s="23" t="inlineStr">
        <is>
          <t>Услуги</t>
        </is>
      </c>
      <c r="B237" s="7" t="inlineStr">
        <is>
          <t>Пикалёво, Советская ул.</t>
        </is>
      </c>
      <c r="C237" s="24">
        <f>HYPERLINK("https://www.avito.ru/pikalevo/uslugi/priem_i_vyvoz_metalloloma_samovyvoz_loma_8023056151","8023056151")</f>
        <v/>
      </c>
      <c r="D237" s="24" t="inlineStr">
        <is>
          <t>Общее</t>
        </is>
      </c>
      <c r="E237" s="25" t="n">
        <v>0</v>
      </c>
      <c r="F237" s="25" t="n">
        <v>0</v>
      </c>
      <c r="G237" s="26" t="n">
        <v>0</v>
      </c>
      <c r="H237" s="24" t="n">
        <v>0</v>
      </c>
      <c r="I237" s="24" t="n">
        <v>0</v>
      </c>
      <c r="J237" s="27" t="n">
        <v>0</v>
      </c>
      <c r="K237" s="28" t="n">
        <v>0</v>
      </c>
    </row>
    <row r="238">
      <c r="A238" s="23" t="inlineStr">
        <is>
          <t>Услуги</t>
        </is>
      </c>
      <c r="B238" s="7" t="inlineStr">
        <is>
          <t>Каменногорск, Ленинградское ш.</t>
        </is>
      </c>
      <c r="C238" s="24">
        <f>HYPERLINK("https://www.avito.ru/kamennogorsk/uslugi/priem_tsvetnogo_metalloloma_8023067467","8023067467")</f>
        <v/>
      </c>
      <c r="D238" s="24" t="inlineStr">
        <is>
          <t>Цветмет</t>
        </is>
      </c>
      <c r="E238" s="25" t="n">
        <v>0</v>
      </c>
      <c r="F238" s="25" t="n">
        <v>0</v>
      </c>
      <c r="G238" s="26" t="n">
        <v>0</v>
      </c>
      <c r="H238" s="24" t="n">
        <v>0</v>
      </c>
      <c r="I238" s="24" t="n">
        <v>0</v>
      </c>
      <c r="J238" s="27" t="n">
        <v>0</v>
      </c>
      <c r="K238" s="28" t="n">
        <v>0</v>
      </c>
    </row>
    <row r="239">
      <c r="A239" s="23" t="inlineStr">
        <is>
          <t>Услуги</t>
        </is>
      </c>
      <c r="B239" s="7" t="inlineStr">
        <is>
          <t>д. Оржицы</t>
        </is>
      </c>
      <c r="C239" s="24">
        <f>HYPERLINK("https://www.avito.ru/gostilitsy/uslugi/priem_i_vyvoz_metalloloma_samovyvoz_loma_8023104068","8023104068")</f>
        <v/>
      </c>
      <c r="D239" s="24" t="inlineStr">
        <is>
          <t>Общее</t>
        </is>
      </c>
      <c r="E239" s="25" t="n">
        <v>0</v>
      </c>
      <c r="F239" s="25" t="n">
        <v>0</v>
      </c>
      <c r="G239" s="26" t="n">
        <v>0</v>
      </c>
      <c r="H239" s="24" t="n">
        <v>0</v>
      </c>
      <c r="I239" s="24" t="n">
        <v>0</v>
      </c>
      <c r="J239" s="27" t="n">
        <v>0</v>
      </c>
      <c r="K239" s="28" t="n">
        <v>0</v>
      </c>
    </row>
    <row r="240">
      <c r="A240" s="23" t="inlineStr">
        <is>
          <t>Услуги</t>
        </is>
      </c>
      <c r="B240" s="7" t="inlineStr">
        <is>
          <t>Каменногорск, Ленинградское ш.</t>
        </is>
      </c>
      <c r="C240" s="24">
        <f>HYPERLINK("https://www.avito.ru/kamennogorsk/uslugi/priem_metalla_demontazh_priem_metalloloma_8023119990","8023119990")</f>
        <v/>
      </c>
      <c r="D240" s="24" t="inlineStr">
        <is>
          <t>Общее</t>
        </is>
      </c>
      <c r="E240" s="25" t="n">
        <v>0</v>
      </c>
      <c r="F240" s="25" t="n">
        <v>0</v>
      </c>
      <c r="G240" s="26" t="n">
        <v>0</v>
      </c>
      <c r="H240" s="24" t="n">
        <v>0</v>
      </c>
      <c r="I240" s="24" t="n">
        <v>0</v>
      </c>
      <c r="J240" s="27" t="n">
        <v>0</v>
      </c>
      <c r="K240" s="28" t="n">
        <v>0</v>
      </c>
    </row>
    <row r="241">
      <c r="A241" s="23" t="inlineStr">
        <is>
          <t>Услуги</t>
        </is>
      </c>
      <c r="B241" s="7" t="inlineStr">
        <is>
          <t>городской пос. Янино-1, Кольцевая ул., 3</t>
        </is>
      </c>
      <c r="C241" s="24">
        <f>HYPERLINK("https://www.avito.ru/yanino-1/uslugi/priem_metalloloma_priem_tsvetnogo_loma_8023124809","8023124809")</f>
        <v/>
      </c>
      <c r="D241" s="24" t="inlineStr">
        <is>
          <t>Цветмет</t>
        </is>
      </c>
      <c r="E241" s="25" t="n">
        <v>0</v>
      </c>
      <c r="F241" s="25" t="n">
        <v>0</v>
      </c>
      <c r="G241" s="26" t="n">
        <v>0</v>
      </c>
      <c r="H241" s="24" t="n">
        <v>0</v>
      </c>
      <c r="I241" s="24" t="n">
        <v>0</v>
      </c>
      <c r="J241" s="27" t="n">
        <v>0</v>
      </c>
      <c r="K241" s="28" t="n">
        <v>0</v>
      </c>
    </row>
    <row r="242">
      <c r="A242" s="23" t="inlineStr">
        <is>
          <t>Услуги</t>
        </is>
      </c>
      <c r="B242" s="7" t="inlineStr">
        <is>
          <t>пос. Красная Долина, Центральное ш.</t>
        </is>
      </c>
      <c r="C242" s="24">
        <f>HYPERLINK("https://www.avito.ru/krasnaya_dolina/uslugi/priem_metalla_sdat_lom_vyvoz_loma_8023144174","8023144174")</f>
        <v/>
      </c>
      <c r="D242" s="24" t="inlineStr">
        <is>
          <t>Общее</t>
        </is>
      </c>
      <c r="E242" s="25" t="n">
        <v>0</v>
      </c>
      <c r="F242" s="25" t="n">
        <v>0</v>
      </c>
      <c r="G242" s="26" t="n">
        <v>0</v>
      </c>
      <c r="H242" s="24" t="n">
        <v>0</v>
      </c>
      <c r="I242" s="24" t="n">
        <v>0</v>
      </c>
      <c r="J242" s="27" t="n">
        <v>0</v>
      </c>
      <c r="K242" s="28" t="n">
        <v>0</v>
      </c>
    </row>
    <row r="243">
      <c r="A243" s="23" t="inlineStr">
        <is>
          <t>Услуги</t>
        </is>
      </c>
      <c r="B243" s="7" t="inlineStr">
        <is>
          <t>Санкт-Петербург, Дворцовая пл.</t>
        </is>
      </c>
      <c r="C243" s="24">
        <f>HYPERLINK("https://www.avito.ru/sankt-peterburg/uslugi/priem_metalloloma_priem_chernogo_loma_opt_8023153196","8023153196")</f>
        <v/>
      </c>
      <c r="D243" s="24" t="inlineStr">
        <is>
          <t>Чермет</t>
        </is>
      </c>
      <c r="E243" s="25" t="n">
        <v>0</v>
      </c>
      <c r="F243" s="25" t="n">
        <v>0</v>
      </c>
      <c r="G243" s="26" t="n">
        <v>0</v>
      </c>
      <c r="H243" s="24" t="n">
        <v>0</v>
      </c>
      <c r="I243" s="24" t="n">
        <v>0</v>
      </c>
      <c r="J243" s="27" t="n">
        <v>0</v>
      </c>
      <c r="K243" s="28" t="n">
        <v>0</v>
      </c>
    </row>
    <row r="244">
      <c r="A244" s="23" t="inlineStr">
        <is>
          <t>Услуги</t>
        </is>
      </c>
      <c r="B244" s="7" t="inlineStr">
        <is>
          <t>городской пос. Новоселье, Красносельское ш.</t>
        </is>
      </c>
      <c r="C244" s="24">
        <f>HYPERLINK("https://www.avito.ru/novoselie/uslugi/priem_loma_priem_tsvetnogo_loma_priem_chermeta_8023160412","8023160412")</f>
        <v/>
      </c>
      <c r="D244" s="24" t="inlineStr">
        <is>
          <t>Цветмет</t>
        </is>
      </c>
      <c r="E244" s="25" t="n">
        <v>0</v>
      </c>
      <c r="F244" s="25" t="n">
        <v>0</v>
      </c>
      <c r="G244" s="26" t="n">
        <v>0</v>
      </c>
      <c r="H244" s="24" t="n">
        <v>0</v>
      </c>
      <c r="I244" s="24" t="n">
        <v>0</v>
      </c>
      <c r="J244" s="27" t="n">
        <v>0</v>
      </c>
      <c r="K244" s="28" t="n">
        <v>0</v>
      </c>
    </row>
    <row r="245">
      <c r="A245" s="23" t="inlineStr">
        <is>
          <t>Услуги</t>
        </is>
      </c>
      <c r="B245" s="7" t="inlineStr">
        <is>
          <t>Сясьстрой, Петрозаводская ул., 34</t>
        </is>
      </c>
      <c r="C245" s="24">
        <f>HYPERLINK("https://www.avito.ru/syasstroy/uslugi/priem_metalloloma_priem_chernogo_loma_opt_8023160441","8023160441")</f>
        <v/>
      </c>
      <c r="D245" s="24" t="inlineStr">
        <is>
          <t>Чермет</t>
        </is>
      </c>
      <c r="E245" s="25" t="n">
        <v>0</v>
      </c>
      <c r="F245" s="25" t="n">
        <v>0</v>
      </c>
      <c r="G245" s="26" t="n">
        <v>0</v>
      </c>
      <c r="H245" s="24" t="n">
        <v>0</v>
      </c>
      <c r="I245" s="24" t="n">
        <v>0</v>
      </c>
      <c r="J245" s="27" t="n">
        <v>0</v>
      </c>
      <c r="K245" s="28" t="n">
        <v>0</v>
      </c>
    </row>
    <row r="246">
      <c r="A246" s="23" t="inlineStr">
        <is>
          <t>Услуги</t>
        </is>
      </c>
      <c r="B246" s="7" t="inlineStr">
        <is>
          <t>Отрадное, Заводская ул., 1А</t>
        </is>
      </c>
      <c r="C246" s="24">
        <f>HYPERLINK("https://www.avito.ru/leningradskaya_oblast_otradnoe/uslugi/priem_loma_priem_tsvetnogo_loma_priem_chermeta_8023190373","8023190373")</f>
        <v/>
      </c>
      <c r="D246" s="24" t="inlineStr">
        <is>
          <t>Цветмет</t>
        </is>
      </c>
      <c r="E246" s="25" t="n">
        <v>0</v>
      </c>
      <c r="F246" s="25" t="n">
        <v>0</v>
      </c>
      <c r="G246" s="26" t="n">
        <v>0</v>
      </c>
      <c r="H246" s="24" t="n">
        <v>0</v>
      </c>
      <c r="I246" s="24" t="n">
        <v>0</v>
      </c>
      <c r="J246" s="27" t="n">
        <v>0</v>
      </c>
      <c r="K246" s="28" t="n">
        <v>0</v>
      </c>
    </row>
    <row r="247">
      <c r="A247" s="23" t="inlineStr">
        <is>
          <t>Услуги</t>
        </is>
      </c>
      <c r="B247" s="7" t="inlineStr">
        <is>
          <t>пос. Волошово, Школьная ул.</t>
        </is>
      </c>
      <c r="C247" s="24">
        <f>HYPERLINK("https://www.avito.ru/voloshovo/uslugi/priem_tsvetnogo_metalloloma_8023193329","8023193329")</f>
        <v/>
      </c>
      <c r="D247" s="24" t="inlineStr">
        <is>
          <t>Цветмет</t>
        </is>
      </c>
      <c r="E247" s="25" t="n">
        <v>0</v>
      </c>
      <c r="F247" s="25" t="n">
        <v>0</v>
      </c>
      <c r="G247" s="26" t="n">
        <v>0</v>
      </c>
      <c r="H247" s="24" t="n">
        <v>0</v>
      </c>
      <c r="I247" s="24" t="n">
        <v>0</v>
      </c>
      <c r="J247" s="27" t="n">
        <v>0</v>
      </c>
      <c r="K247" s="28" t="n">
        <v>0</v>
      </c>
    </row>
    <row r="248">
      <c r="A248" s="23" t="inlineStr">
        <is>
          <t>Услуги</t>
        </is>
      </c>
      <c r="B248" s="7" t="inlineStr">
        <is>
          <t>пос. Коммунары, Центральная ул.</t>
        </is>
      </c>
      <c r="C248" s="24">
        <f>HYPERLINK("https://www.avito.ru/kommynary/uslugi/priem_metalloloma_skupka_metalla_8023196052","8023196052")</f>
        <v/>
      </c>
      <c r="D248" s="24" t="inlineStr">
        <is>
          <t>Общее</t>
        </is>
      </c>
      <c r="E248" s="25" t="n">
        <v>0</v>
      </c>
      <c r="F248" s="25" t="n">
        <v>0</v>
      </c>
      <c r="G248" s="26" t="n">
        <v>0</v>
      </c>
      <c r="H248" s="24" t="n">
        <v>0</v>
      </c>
      <c r="I248" s="24" t="n">
        <v>0</v>
      </c>
      <c r="J248" s="27" t="n">
        <v>0</v>
      </c>
      <c r="K248" s="28" t="n">
        <v>0</v>
      </c>
    </row>
    <row r="249">
      <c r="A249" s="23" t="inlineStr">
        <is>
          <t>Услуги</t>
        </is>
      </c>
      <c r="B249" s="7" t="inlineStr">
        <is>
          <t>городской пос. Новоселье, Красносельское ш.</t>
        </is>
      </c>
      <c r="C249" s="24">
        <f>HYPERLINK("https://www.avito.ru/novoselie/uslugi/priem_loma_tsvetnyh_metallov_8023271885","8023271885")</f>
        <v/>
      </c>
      <c r="D249" s="24" t="inlineStr">
        <is>
          <t>Цветмет</t>
        </is>
      </c>
      <c r="E249" s="25" t="n">
        <v>0</v>
      </c>
      <c r="F249" s="25" t="n">
        <v>0</v>
      </c>
      <c r="G249" s="26" t="n">
        <v>0</v>
      </c>
      <c r="H249" s="24" t="n">
        <v>0</v>
      </c>
      <c r="I249" s="24" t="n">
        <v>0</v>
      </c>
      <c r="J249" s="27" t="n">
        <v>0</v>
      </c>
      <c r="K249" s="28" t="n">
        <v>0</v>
      </c>
    </row>
    <row r="250">
      <c r="A250" s="23" t="inlineStr">
        <is>
          <t>Услуги</t>
        </is>
      </c>
      <c r="B250" s="7" t="inlineStr">
        <is>
          <t>Санкт-Петербург, пр-т Стачек, 70</t>
        </is>
      </c>
      <c r="C250" s="24">
        <f>HYPERLINK("https://www.avito.ru/sankt-peterburg/uslugi/priem_metalloloma_skupka_metalla_8023272261","8023272261")</f>
        <v/>
      </c>
      <c r="D250" s="24" t="inlineStr">
        <is>
          <t>Общее</t>
        </is>
      </c>
      <c r="E250" s="25" t="n">
        <v>0</v>
      </c>
      <c r="F250" s="25" t="n">
        <v>0</v>
      </c>
      <c r="G250" s="26" t="n">
        <v>0</v>
      </c>
      <c r="H250" s="24" t="n">
        <v>0</v>
      </c>
      <c r="I250" s="24" t="n">
        <v>0</v>
      </c>
      <c r="J250" s="27" t="n">
        <v>0</v>
      </c>
      <c r="K250" s="28" t="n">
        <v>0</v>
      </c>
    </row>
    <row r="251">
      <c r="A251" s="23" t="inlineStr">
        <is>
          <t>Услуги</t>
        </is>
      </c>
      <c r="B251" s="7" t="inlineStr">
        <is>
          <t>Санкт-Петербург, пр-т Стачек, 70</t>
        </is>
      </c>
      <c r="C251" s="24">
        <f>HYPERLINK("https://www.avito.ru/sankt-peterburg/uslugi/priem_metalloloma_priem_chernogo_loma_8023277910","8023277910")</f>
        <v/>
      </c>
      <c r="D251" s="24" t="inlineStr">
        <is>
          <t>Чермет</t>
        </is>
      </c>
      <c r="E251" s="25" t="n">
        <v>0</v>
      </c>
      <c r="F251" s="25" t="n">
        <v>0</v>
      </c>
      <c r="G251" s="26" t="n">
        <v>0</v>
      </c>
      <c r="H251" s="24" t="n">
        <v>0</v>
      </c>
      <c r="I251" s="24" t="n">
        <v>0</v>
      </c>
      <c r="J251" s="27" t="n">
        <v>0</v>
      </c>
      <c r="K251" s="28" t="n">
        <v>0</v>
      </c>
    </row>
    <row r="252">
      <c r="A252" s="23" t="inlineStr">
        <is>
          <t>Услуги</t>
        </is>
      </c>
      <c r="B252" s="7" t="inlineStr">
        <is>
          <t>Санкт-Петербург, Московская пл.</t>
        </is>
      </c>
      <c r="C252" s="24">
        <f>HYPERLINK("https://www.avito.ru/sankt-peterburg/uslugi/priem_tsvetnogo_metalloloma_8023304020","8023304020")</f>
        <v/>
      </c>
      <c r="D252" s="24" t="inlineStr">
        <is>
          <t>Цветмет</t>
        </is>
      </c>
      <c r="E252" s="25" t="n">
        <v>0</v>
      </c>
      <c r="F252" s="25" t="n">
        <v>0</v>
      </c>
      <c r="G252" s="26" t="n">
        <v>0</v>
      </c>
      <c r="H252" s="24" t="n">
        <v>0</v>
      </c>
      <c r="I252" s="24" t="n">
        <v>0</v>
      </c>
      <c r="J252" s="27" t="n">
        <v>0</v>
      </c>
      <c r="K252" s="28" t="n">
        <v>0</v>
      </c>
    </row>
    <row r="253">
      <c r="A253" s="23" t="inlineStr">
        <is>
          <t>Услуги</t>
        </is>
      </c>
      <c r="B253" s="7" t="inlineStr">
        <is>
          <t>Ивангород, Кингисеппское ш.</t>
        </is>
      </c>
      <c r="C253" s="24">
        <f>HYPERLINK("https://www.avito.ru/ivangorod/uslugi/priem_metalloloma_priem_chernogo_loma_8023326634","8023326634")</f>
        <v/>
      </c>
      <c r="D253" s="24" t="inlineStr">
        <is>
          <t>Чермет</t>
        </is>
      </c>
      <c r="E253" s="25" t="n">
        <v>0</v>
      </c>
      <c r="F253" s="25" t="n">
        <v>0</v>
      </c>
      <c r="G253" s="26" t="n">
        <v>0</v>
      </c>
      <c r="H253" s="24" t="n">
        <v>0</v>
      </c>
      <c r="I253" s="24" t="n">
        <v>0</v>
      </c>
      <c r="J253" s="27" t="n">
        <v>0</v>
      </c>
      <c r="K253" s="28" t="n">
        <v>0</v>
      </c>
    </row>
    <row r="254">
      <c r="A254" s="23" t="inlineStr">
        <is>
          <t>Услуги</t>
        </is>
      </c>
      <c r="B254" s="7" t="inlineStr">
        <is>
          <t>Колтуши, Новосергиевский пр., 5Б</t>
        </is>
      </c>
      <c r="C254" s="24">
        <f>HYPERLINK("https://www.avito.ru/staraya/uslugi/priem_tsvetnogo_metalloloma_8023354125","8023354125")</f>
        <v/>
      </c>
      <c r="D254" s="24" t="inlineStr">
        <is>
          <t>Цветмет</t>
        </is>
      </c>
      <c r="E254" s="25" t="n">
        <v>0</v>
      </c>
      <c r="F254" s="25" t="n">
        <v>0</v>
      </c>
      <c r="G254" s="26" t="n">
        <v>0</v>
      </c>
      <c r="H254" s="24" t="n">
        <v>0</v>
      </c>
      <c r="I254" s="24" t="n">
        <v>0</v>
      </c>
      <c r="J254" s="27" t="n">
        <v>0</v>
      </c>
      <c r="K254" s="28" t="n">
        <v>0</v>
      </c>
    </row>
    <row r="255">
      <c r="A255" s="23" t="inlineStr">
        <is>
          <t>Услуги</t>
        </is>
      </c>
      <c r="B255" s="7" t="inlineStr">
        <is>
          <t>Сясьстрой, Петрозаводская ул., 34</t>
        </is>
      </c>
      <c r="C255" s="24">
        <f>HYPERLINK("https://www.avito.ru/syasstroy/uslugi/priem_tsvetnogo_metalloloma_8023362023","8023362023")</f>
        <v/>
      </c>
      <c r="D255" s="24" t="inlineStr">
        <is>
          <t>Цветмет</t>
        </is>
      </c>
      <c r="E255" s="25" t="n">
        <v>0</v>
      </c>
      <c r="F255" s="25" t="n">
        <v>0</v>
      </c>
      <c r="G255" s="26" t="n">
        <v>0</v>
      </c>
      <c r="H255" s="24" t="n">
        <v>0</v>
      </c>
      <c r="I255" s="24" t="n">
        <v>0</v>
      </c>
      <c r="J255" s="27" t="n">
        <v>0</v>
      </c>
      <c r="K255" s="28" t="n">
        <v>0</v>
      </c>
    </row>
    <row r="256">
      <c r="A256" s="23" t="inlineStr">
        <is>
          <t>Услуги</t>
        </is>
      </c>
      <c r="B256" s="7" t="inlineStr">
        <is>
          <t>Бугры, Шоссейная ул., 35Вк1</t>
        </is>
      </c>
      <c r="C256" s="24">
        <f>HYPERLINK("https://www.avito.ru/bugry/uslugi/priem_metalloloma_priem_tsvetnogo_loma_8023367574","8023367574")</f>
        <v/>
      </c>
      <c r="D256" s="24" t="inlineStr">
        <is>
          <t>Цветмет</t>
        </is>
      </c>
      <c r="E256" s="25" t="n">
        <v>0</v>
      </c>
      <c r="F256" s="25" t="n">
        <v>0</v>
      </c>
      <c r="G256" s="26" t="n">
        <v>0</v>
      </c>
      <c r="H256" s="24" t="n">
        <v>0</v>
      </c>
      <c r="I256" s="24" t="n">
        <v>0</v>
      </c>
      <c r="J256" s="27" t="n">
        <v>0</v>
      </c>
      <c r="K256" s="28" t="n">
        <v>0</v>
      </c>
    </row>
    <row r="257">
      <c r="A257" s="23" t="inlineStr">
        <is>
          <t>Услуги</t>
        </is>
      </c>
      <c r="B257" s="7" t="inlineStr">
        <is>
          <t>Волосово, ул. Восстания, 6</t>
        </is>
      </c>
      <c r="C257" s="24">
        <f>HYPERLINK("https://www.avito.ru/volosovo/uslugi/priem_metalloloma_priem_chernogo_loma_8023374737","8023374737")</f>
        <v/>
      </c>
      <c r="D257" s="24" t="inlineStr">
        <is>
          <t>Чермет</t>
        </is>
      </c>
      <c r="E257" s="25" t="n">
        <v>0</v>
      </c>
      <c r="F257" s="25" t="n">
        <v>0</v>
      </c>
      <c r="G257" s="26" t="n">
        <v>0</v>
      </c>
      <c r="H257" s="24" t="n">
        <v>0</v>
      </c>
      <c r="I257" s="24" t="n">
        <v>0</v>
      </c>
      <c r="J257" s="27" t="n">
        <v>0</v>
      </c>
      <c r="K257" s="28" t="n">
        <v>0</v>
      </c>
    </row>
    <row r="258">
      <c r="A258" s="23" t="inlineStr">
        <is>
          <t>Услуги</t>
        </is>
      </c>
      <c r="B258" s="7" t="inlineStr">
        <is>
          <t>Вытегра, Вологодская ул., 1</t>
        </is>
      </c>
      <c r="C258" s="24">
        <f>HYPERLINK("https://www.avito.ru/vytegra/uslugi/priem_i_vyvoz_metalloloma_samovyvoz_loma_8023399423","8023399423")</f>
        <v/>
      </c>
      <c r="D258" s="24" t="inlineStr">
        <is>
          <t>Общее</t>
        </is>
      </c>
      <c r="E258" s="25" t="n">
        <v>0</v>
      </c>
      <c r="F258" s="25" t="n">
        <v>0</v>
      </c>
      <c r="G258" s="26" t="n">
        <v>0</v>
      </c>
      <c r="H258" s="24" t="n">
        <v>0</v>
      </c>
      <c r="I258" s="24" t="n">
        <v>0</v>
      </c>
      <c r="J258" s="27" t="n">
        <v>0</v>
      </c>
      <c r="K258" s="28" t="n">
        <v>0</v>
      </c>
    </row>
    <row r="259">
      <c r="A259" s="23" t="inlineStr">
        <is>
          <t>Услуги</t>
        </is>
      </c>
      <c r="B259" s="7" t="inlineStr">
        <is>
          <t>Коммунар, Железнодорожная ул., 6А</t>
        </is>
      </c>
      <c r="C259" s="24">
        <f>HYPERLINK("https://www.avito.ru/leningradskaya_oblast_kommunar/uslugi/priem_metalloloma_priem_tsvetnogo_loma_8023404480","8023404480")</f>
        <v/>
      </c>
      <c r="D259" s="24" t="inlineStr">
        <is>
          <t>Цветмет</t>
        </is>
      </c>
      <c r="E259" s="25" t="n">
        <v>0</v>
      </c>
      <c r="F259" s="25" t="n">
        <v>0</v>
      </c>
      <c r="G259" s="26" t="n">
        <v>0</v>
      </c>
      <c r="H259" s="24" t="n">
        <v>0</v>
      </c>
      <c r="I259" s="24" t="n">
        <v>0</v>
      </c>
      <c r="J259" s="27" t="n">
        <v>0</v>
      </c>
      <c r="K259" s="28" t="n">
        <v>0</v>
      </c>
    </row>
    <row r="260">
      <c r="A260" s="23" t="inlineStr">
        <is>
          <t>Услуги</t>
        </is>
      </c>
      <c r="B260" s="7" t="inlineStr">
        <is>
          <t>Новая Ладога, ул. Суворова, 53</t>
        </is>
      </c>
      <c r="C260" s="24">
        <f>HYPERLINK("https://www.avito.ru/novaya_ladoga/uslugi/priem_metalla_demontazh_priem_metalloloma_8023445835","8023445835")</f>
        <v/>
      </c>
      <c r="D260" s="24" t="inlineStr">
        <is>
          <t>Общее</t>
        </is>
      </c>
      <c r="E260" s="25" t="n">
        <v>0</v>
      </c>
      <c r="F260" s="25" t="n">
        <v>0</v>
      </c>
      <c r="G260" s="26" t="n">
        <v>0</v>
      </c>
      <c r="H260" s="24" t="n">
        <v>0</v>
      </c>
      <c r="I260" s="24" t="n">
        <v>0</v>
      </c>
      <c r="J260" s="27" t="n">
        <v>0</v>
      </c>
      <c r="K260" s="28" t="n">
        <v>0</v>
      </c>
    </row>
    <row r="261">
      <c r="A261" s="23" t="inlineStr">
        <is>
          <t>Услуги</t>
        </is>
      </c>
      <c r="B261" s="7" t="inlineStr">
        <is>
          <t>Бугры, Шоссейная ул., 35Вк1</t>
        </is>
      </c>
      <c r="C261" s="24">
        <f>HYPERLINK("https://www.avito.ru/bugry/uslugi/priem_i_vyvoz_metalloloma_priem_redkih_metallov_8023448280","8023448280")</f>
        <v/>
      </c>
      <c r="D261" s="24" t="inlineStr">
        <is>
          <t>РЗМ</t>
        </is>
      </c>
      <c r="E261" s="25" t="n">
        <v>0</v>
      </c>
      <c r="F261" s="25" t="n">
        <v>0</v>
      </c>
      <c r="G261" s="26" t="n">
        <v>0</v>
      </c>
      <c r="H261" s="24" t="n">
        <v>0</v>
      </c>
      <c r="I261" s="24" t="n">
        <v>0</v>
      </c>
      <c r="J261" s="27" t="n">
        <v>0</v>
      </c>
      <c r="K261" s="28" t="n">
        <v>0</v>
      </c>
    </row>
    <row r="262">
      <c r="A262" s="23" t="inlineStr">
        <is>
          <t>Услуги</t>
        </is>
      </c>
      <c r="B262" s="7" t="inlineStr">
        <is>
          <t>д. Кипень, Ропшинское ш., 66</t>
        </is>
      </c>
      <c r="C262" s="24">
        <f>HYPERLINK("https://www.avito.ru/kipen/uslugi/priem_metalloloma_priem_chernogo_loma_opt_8023449487","8023449487")</f>
        <v/>
      </c>
      <c r="D262" s="24" t="inlineStr">
        <is>
          <t>Чермет</t>
        </is>
      </c>
      <c r="E262" s="25" t="n">
        <v>0</v>
      </c>
      <c r="F262" s="25" t="n">
        <v>0</v>
      </c>
      <c r="G262" s="26" t="n">
        <v>0</v>
      </c>
      <c r="H262" s="24" t="n">
        <v>0</v>
      </c>
      <c r="I262" s="24" t="n">
        <v>0</v>
      </c>
      <c r="J262" s="27" t="n">
        <v>0</v>
      </c>
      <c r="K262" s="28" t="n">
        <v>0</v>
      </c>
    </row>
    <row r="263">
      <c r="A263" s="23" t="inlineStr">
        <is>
          <t>Услуги</t>
        </is>
      </c>
      <c r="B263" s="7" t="inlineStr">
        <is>
          <t>Санкт-Петербург, Бухарестская ул.</t>
        </is>
      </c>
      <c r="C263" s="24">
        <f>HYPERLINK("https://www.avito.ru/sankt-peterburg/uslugi/priem_metalloloma_priem_loma_demontazh_8023455841","8023455841")</f>
        <v/>
      </c>
      <c r="D263" s="24" t="inlineStr">
        <is>
          <t>Общее</t>
        </is>
      </c>
      <c r="E263" s="25" t="n">
        <v>0</v>
      </c>
      <c r="F263" s="25" t="n">
        <v>0</v>
      </c>
      <c r="G263" s="26" t="n">
        <v>0</v>
      </c>
      <c r="H263" s="24" t="n">
        <v>0</v>
      </c>
      <c r="I263" s="24" t="n">
        <v>0</v>
      </c>
      <c r="J263" s="27" t="n">
        <v>0</v>
      </c>
      <c r="K263" s="28" t="n">
        <v>0</v>
      </c>
    </row>
    <row r="264">
      <c r="A264" s="23" t="inlineStr">
        <is>
          <t>Услуги</t>
        </is>
      </c>
      <c r="B264" s="7" t="inlineStr">
        <is>
          <t>пос. Красная Долина, Центральное ш.</t>
        </is>
      </c>
      <c r="C264" s="24">
        <f>HYPERLINK("https://www.avito.ru/krasnaya_dolina/uslugi/priem_tsvetnogo_metalloloma_8023479592","8023479592")</f>
        <v/>
      </c>
      <c r="D264" s="24" t="inlineStr">
        <is>
          <t>Цветмет</t>
        </is>
      </c>
      <c r="E264" s="25" t="n">
        <v>0</v>
      </c>
      <c r="F264" s="25" t="n">
        <v>0</v>
      </c>
      <c r="G264" s="26" t="n">
        <v>0</v>
      </c>
      <c r="H264" s="24" t="n">
        <v>0</v>
      </c>
      <c r="I264" s="24" t="n">
        <v>0</v>
      </c>
      <c r="J264" s="27" t="n">
        <v>0</v>
      </c>
      <c r="K264" s="28" t="n">
        <v>0</v>
      </c>
    </row>
    <row r="265">
      <c r="A265" s="23" t="inlineStr">
        <is>
          <t>Услуги</t>
        </is>
      </c>
      <c r="B265" s="7" t="inlineStr">
        <is>
          <t>Санкт-Петербург, пр-т Просвещения, 19</t>
        </is>
      </c>
      <c r="C265" s="24">
        <f>HYPERLINK("https://www.avito.ru/sankt-peterburg/uslugi/priem_metalloloma_vyvoz_metalloloma_8023484841","8023484841")</f>
        <v/>
      </c>
      <c r="D265" s="24" t="inlineStr">
        <is>
          <t>Общее</t>
        </is>
      </c>
      <c r="E265" s="25" t="n">
        <v>0</v>
      </c>
      <c r="F265" s="25" t="n">
        <v>0</v>
      </c>
      <c r="G265" s="26" t="n">
        <v>0</v>
      </c>
      <c r="H265" s="24" t="n">
        <v>0</v>
      </c>
      <c r="I265" s="24" t="n">
        <v>0</v>
      </c>
      <c r="J265" s="27" t="n">
        <v>0</v>
      </c>
      <c r="K265" s="28" t="n">
        <v>0</v>
      </c>
    </row>
    <row r="266">
      <c r="A266" s="23" t="inlineStr">
        <is>
          <t>Услуги</t>
        </is>
      </c>
      <c r="B266" s="7" t="inlineStr">
        <is>
          <t>городской пос. Лебяжье, Строительная ул., 10</t>
        </is>
      </c>
      <c r="C266" s="24">
        <f>HYPERLINK("https://www.avito.ru/leningradskaya_oblast_lebyazhe/uslugi/priem_metalloloma_priem_chernogo_loma_8023534145","8023534145")</f>
        <v/>
      </c>
      <c r="D266" s="24" t="inlineStr">
        <is>
          <t>Чермет</t>
        </is>
      </c>
      <c r="E266" s="25" t="n">
        <v>0</v>
      </c>
      <c r="F266" s="25" t="n">
        <v>0</v>
      </c>
      <c r="G266" s="26" t="n">
        <v>0</v>
      </c>
      <c r="H266" s="24" t="n">
        <v>0</v>
      </c>
      <c r="I266" s="24" t="n">
        <v>0</v>
      </c>
      <c r="J266" s="27" t="n">
        <v>0</v>
      </c>
      <c r="K266" s="28" t="n">
        <v>0</v>
      </c>
    </row>
    <row r="267">
      <c r="A267" s="23" t="inlineStr">
        <is>
          <t>Услуги</t>
        </is>
      </c>
      <c r="B267" s="7" t="inlineStr">
        <is>
          <t>Санкт-Петербург, Бухарестская ул.</t>
        </is>
      </c>
      <c r="C267" s="24">
        <f>HYPERLINK("https://www.avito.ru/sankt-peterburg/uslugi/priem_metalla_demontazh_priem_metalloloma_8023554142","8023554142")</f>
        <v/>
      </c>
      <c r="D267" s="24" t="inlineStr">
        <is>
          <t>Общее</t>
        </is>
      </c>
      <c r="E267" s="25" t="n">
        <v>0</v>
      </c>
      <c r="F267" s="25" t="n">
        <v>0</v>
      </c>
      <c r="G267" s="26" t="n">
        <v>0</v>
      </c>
      <c r="H267" s="24" t="n">
        <v>0</v>
      </c>
      <c r="I267" s="24" t="n">
        <v>0</v>
      </c>
      <c r="J267" s="27" t="n">
        <v>0</v>
      </c>
      <c r="K267" s="28" t="n">
        <v>0</v>
      </c>
    </row>
    <row r="268">
      <c r="A268" s="23" t="inlineStr">
        <is>
          <t>Услуги</t>
        </is>
      </c>
      <c r="B268" s="7" t="inlineStr">
        <is>
          <t>д. Новое Девяткино, Главная ул., 48</t>
        </is>
      </c>
      <c r="C268" s="24">
        <f>HYPERLINK("https://www.avito.ru/novoe_devyatkino/uslugi/priem_i_vyvoz_metalloloma_sdat_lom_8023554908","8023554908")</f>
        <v/>
      </c>
      <c r="D268" s="24" t="inlineStr">
        <is>
          <t>Общее</t>
        </is>
      </c>
      <c r="E268" s="25" t="n">
        <v>0</v>
      </c>
      <c r="F268" s="25" t="n">
        <v>0</v>
      </c>
      <c r="G268" s="26" t="n">
        <v>0</v>
      </c>
      <c r="H268" s="24" t="n">
        <v>0</v>
      </c>
      <c r="I268" s="24" t="n">
        <v>0</v>
      </c>
      <c r="J268" s="27" t="n">
        <v>0</v>
      </c>
      <c r="K268" s="28" t="n">
        <v>0</v>
      </c>
    </row>
    <row r="269">
      <c r="A269" s="23" t="inlineStr">
        <is>
          <t>Услуги</t>
        </is>
      </c>
      <c r="B269" s="7" t="inlineStr">
        <is>
          <t>Санкт-Петербург, пр-т Науки, 19к1</t>
        </is>
      </c>
      <c r="C269" s="24">
        <f>HYPERLINK("https://www.avito.ru/sankt-peterburg/uslugi/priem_metalloloma_priem_chernogo_loma_8023556548","8023556548")</f>
        <v/>
      </c>
      <c r="D269" s="24" t="inlineStr">
        <is>
          <t>Чермет</t>
        </is>
      </c>
      <c r="E269" s="25" t="n">
        <v>0</v>
      </c>
      <c r="F269" s="25" t="n">
        <v>0</v>
      </c>
      <c r="G269" s="26" t="n">
        <v>0</v>
      </c>
      <c r="H269" s="24" t="n">
        <v>0</v>
      </c>
      <c r="I269" s="24" t="n">
        <v>0</v>
      </c>
      <c r="J269" s="27" t="n">
        <v>0</v>
      </c>
      <c r="K269" s="28" t="n">
        <v>0</v>
      </c>
    </row>
    <row r="270">
      <c r="A270" s="23" t="inlineStr">
        <is>
          <t>Услуги</t>
        </is>
      </c>
      <c r="B270" s="7" t="inlineStr">
        <is>
          <t>пос. Волошово, Школьная ул.</t>
        </is>
      </c>
      <c r="C270" s="24">
        <f>HYPERLINK("https://www.avito.ru/voloshovo/uslugi/priem_metalla_sdat_lom_vyvoz_loma_8023560257","8023560257")</f>
        <v/>
      </c>
      <c r="D270" s="24" t="inlineStr">
        <is>
          <t>Общее</t>
        </is>
      </c>
      <c r="E270" s="25" t="n">
        <v>0</v>
      </c>
      <c r="F270" s="25" t="n">
        <v>0</v>
      </c>
      <c r="G270" s="26" t="n">
        <v>0</v>
      </c>
      <c r="H270" s="24" t="n">
        <v>0</v>
      </c>
      <c r="I270" s="24" t="n">
        <v>0</v>
      </c>
      <c r="J270" s="27" t="n">
        <v>0</v>
      </c>
      <c r="K270" s="28" t="n">
        <v>0</v>
      </c>
    </row>
    <row r="271">
      <c r="A271" s="23" t="inlineStr">
        <is>
          <t>Услуги</t>
        </is>
      </c>
      <c r="B271" s="7" t="inlineStr">
        <is>
          <t>Высоцк, Центральная ул.</t>
        </is>
      </c>
      <c r="C271" s="24">
        <f>HYPERLINK("https://www.avito.ru/vysotsk/uslugi/priem_tsvetnogo_metalloloma_8023618945","8023618945")</f>
        <v/>
      </c>
      <c r="D271" s="24" t="inlineStr">
        <is>
          <t>Цветмет</t>
        </is>
      </c>
      <c r="E271" s="25" t="n">
        <v>0</v>
      </c>
      <c r="F271" s="25" t="n">
        <v>0</v>
      </c>
      <c r="G271" s="26" t="n">
        <v>0</v>
      </c>
      <c r="H271" s="24" t="n">
        <v>0</v>
      </c>
      <c r="I271" s="24" t="n">
        <v>0</v>
      </c>
      <c r="J271" s="27" t="n">
        <v>0</v>
      </c>
      <c r="K271" s="28" t="n">
        <v>0</v>
      </c>
    </row>
    <row r="272">
      <c r="A272" s="23" t="inlineStr">
        <is>
          <t>Услуги</t>
        </is>
      </c>
      <c r="B272" s="7" t="inlineStr">
        <is>
          <t>Светогорск</t>
        </is>
      </c>
      <c r="C272" s="24">
        <f>HYPERLINK("https://www.avito.ru/svetogorsk/uslugi/priem_metalloloma_skupka_metalla_8023622866","8023622866")</f>
        <v/>
      </c>
      <c r="D272" s="24" t="inlineStr">
        <is>
          <t>Общее</t>
        </is>
      </c>
      <c r="E272" s="25" t="n">
        <v>0</v>
      </c>
      <c r="F272" s="25" t="n">
        <v>0</v>
      </c>
      <c r="G272" s="26" t="n">
        <v>0</v>
      </c>
      <c r="H272" s="24" t="n">
        <v>0</v>
      </c>
      <c r="I272" s="24" t="n">
        <v>0</v>
      </c>
      <c r="J272" s="27" t="n">
        <v>0</v>
      </c>
      <c r="K272" s="28" t="n">
        <v>0</v>
      </c>
    </row>
    <row r="273">
      <c r="A273" s="23" t="inlineStr">
        <is>
          <t>Услуги</t>
        </is>
      </c>
      <c r="B273" s="7" t="inlineStr">
        <is>
          <t>Кировск, Северная ул., 1В</t>
        </is>
      </c>
      <c r="C273" s="24">
        <f>HYPERLINK("https://www.avito.ru/leningradskaya_oblast_kirovsk/uslugi/priem_metalloloma_priem_chernogo_loma_opt_8023645741","8023645741")</f>
        <v/>
      </c>
      <c r="D273" s="24" t="inlineStr">
        <is>
          <t>Чермет</t>
        </is>
      </c>
      <c r="E273" s="25" t="n">
        <v>0</v>
      </c>
      <c r="F273" s="25" t="n">
        <v>0</v>
      </c>
      <c r="G273" s="26" t="n">
        <v>0</v>
      </c>
      <c r="H273" s="24" t="n">
        <v>0</v>
      </c>
      <c r="I273" s="24" t="n">
        <v>0</v>
      </c>
      <c r="J273" s="27" t="n">
        <v>0</v>
      </c>
      <c r="K273" s="28" t="n">
        <v>0</v>
      </c>
    </row>
    <row r="274">
      <c r="A274" s="23" t="inlineStr">
        <is>
          <t>Услуги</t>
        </is>
      </c>
      <c r="B274" s="7" t="inlineStr">
        <is>
          <t>пос. Волошово, Школьная ул.</t>
        </is>
      </c>
      <c r="C274" s="24">
        <f>HYPERLINK("https://www.avito.ru/voloshovo/uslugi/priem_metalloloma_priem_chernogo_loma_opt_8023666843","8023666843")</f>
        <v/>
      </c>
      <c r="D274" s="24" t="inlineStr">
        <is>
          <t>Чермет</t>
        </is>
      </c>
      <c r="E274" s="25" t="n">
        <v>0</v>
      </c>
      <c r="F274" s="25" t="n">
        <v>0</v>
      </c>
      <c r="G274" s="26" t="n">
        <v>0</v>
      </c>
      <c r="H274" s="24" t="n">
        <v>0</v>
      </c>
      <c r="I274" s="24" t="n">
        <v>0</v>
      </c>
      <c r="J274" s="27" t="n">
        <v>0</v>
      </c>
      <c r="K274" s="28" t="n">
        <v>0</v>
      </c>
    </row>
    <row r="275">
      <c r="A275" s="23" t="inlineStr">
        <is>
          <t>Услуги</t>
        </is>
      </c>
      <c r="B275" s="7" t="inlineStr">
        <is>
          <t>Светогорск</t>
        </is>
      </c>
      <c r="C275" s="24">
        <f>HYPERLINK("https://www.avito.ru/svetogorsk/uslugi/priem_loma_tsvetnyh_metallov_8023702606","8023702606")</f>
        <v/>
      </c>
      <c r="D275" s="24" t="inlineStr">
        <is>
          <t>Цветмет</t>
        </is>
      </c>
      <c r="E275" s="25" t="n">
        <v>0</v>
      </c>
      <c r="F275" s="25" t="n">
        <v>0</v>
      </c>
      <c r="G275" s="26" t="n">
        <v>0</v>
      </c>
      <c r="H275" s="24" t="n">
        <v>0</v>
      </c>
      <c r="I275" s="24" t="n">
        <v>0</v>
      </c>
      <c r="J275" s="27" t="n">
        <v>0</v>
      </c>
      <c r="K275" s="28" t="n">
        <v>0</v>
      </c>
    </row>
    <row r="276">
      <c r="A276" s="23" t="inlineStr">
        <is>
          <t>Услуги</t>
        </is>
      </c>
      <c r="B276" s="7" t="inlineStr">
        <is>
          <t>Отрадное, Заводская ул., 1А</t>
        </is>
      </c>
      <c r="C276" s="24">
        <f>HYPERLINK("https://www.avito.ru/leningradskaya_oblast_otradnoe/uslugi/priem_metalloloma_priem_chernogo_loma_8023750099","8023750099")</f>
        <v/>
      </c>
      <c r="D276" s="24" t="inlineStr">
        <is>
          <t>Чермет</t>
        </is>
      </c>
      <c r="E276" s="25" t="n">
        <v>0</v>
      </c>
      <c r="F276" s="25" t="n">
        <v>0</v>
      </c>
      <c r="G276" s="26" t="n">
        <v>0</v>
      </c>
      <c r="H276" s="24" t="n">
        <v>0</v>
      </c>
      <c r="I276" s="24" t="n">
        <v>0</v>
      </c>
      <c r="J276" s="27" t="n">
        <v>0</v>
      </c>
      <c r="K276" s="28" t="n">
        <v>0</v>
      </c>
    </row>
    <row r="277">
      <c r="A277" s="23" t="inlineStr">
        <is>
          <t>Услуги</t>
        </is>
      </c>
      <c r="B277" s="7" t="inlineStr">
        <is>
          <t>Кингисепп, ул. Дорожников, 35</t>
        </is>
      </c>
      <c r="C277" s="24">
        <f>HYPERLINK("https://www.avito.ru/kingisepp/uslugi/priem_metalloloma_priem_tsvetnogo_loma_8023761604","8023761604")</f>
        <v/>
      </c>
      <c r="D277" s="24" t="inlineStr">
        <is>
          <t>Цветмет</t>
        </is>
      </c>
      <c r="E277" s="25" t="n">
        <v>0</v>
      </c>
      <c r="F277" s="25" t="n">
        <v>0</v>
      </c>
      <c r="G277" s="26" t="n">
        <v>0</v>
      </c>
      <c r="H277" s="24" t="n">
        <v>0</v>
      </c>
      <c r="I277" s="24" t="n">
        <v>0</v>
      </c>
      <c r="J277" s="27" t="n">
        <v>0</v>
      </c>
      <c r="K277" s="28" t="n">
        <v>0</v>
      </c>
    </row>
    <row r="278">
      <c r="A278" s="23" t="inlineStr">
        <is>
          <t>Услуги</t>
        </is>
      </c>
      <c r="B278" s="7" t="inlineStr">
        <is>
          <t>Кудрово, мкр-н Южное Кудрово</t>
        </is>
      </c>
      <c r="C278" s="24">
        <f>HYPERLINK("https://www.avito.ru/kudrovo/uslugi/priem_i_vyvoz_metalloloma_sdat_lom_8023802258","8023802258")</f>
        <v/>
      </c>
      <c r="D278" s="24" t="inlineStr">
        <is>
          <t>Общее</t>
        </is>
      </c>
      <c r="E278" s="25" t="n">
        <v>0</v>
      </c>
      <c r="F278" s="25" t="n">
        <v>0</v>
      </c>
      <c r="G278" s="26" t="n">
        <v>0</v>
      </c>
      <c r="H278" s="24" t="n">
        <v>0</v>
      </c>
      <c r="I278" s="24" t="n">
        <v>0</v>
      </c>
      <c r="J278" s="27" t="n">
        <v>0</v>
      </c>
      <c r="K278" s="28" t="n">
        <v>0</v>
      </c>
    </row>
    <row r="279">
      <c r="A279" s="23" t="inlineStr">
        <is>
          <t>Услуги</t>
        </is>
      </c>
      <c r="B279" s="7" t="inlineStr">
        <is>
          <t>Сосновый Бор, Ракопежское ш., 32</t>
        </is>
      </c>
      <c r="C279" s="24">
        <f>HYPERLINK("https://www.avito.ru/leningradskaya_oblast_sosnovyy_bor/uslugi/priem_metalla_demontazh_priem_metalloloma_8023815469","8023815469")</f>
        <v/>
      </c>
      <c r="D279" s="24" t="inlineStr">
        <is>
          <t>Общее</t>
        </is>
      </c>
      <c r="E279" s="25" t="n">
        <v>0</v>
      </c>
      <c r="F279" s="25" t="n">
        <v>0</v>
      </c>
      <c r="G279" s="26" t="n">
        <v>0</v>
      </c>
      <c r="H279" s="24" t="n">
        <v>0</v>
      </c>
      <c r="I279" s="24" t="n">
        <v>0</v>
      </c>
      <c r="J279" s="27" t="n">
        <v>0</v>
      </c>
      <c r="K279" s="28" t="n">
        <v>0</v>
      </c>
    </row>
    <row r="280">
      <c r="A280" s="23" t="inlineStr">
        <is>
          <t>Услуги</t>
        </is>
      </c>
      <c r="B280" s="7" t="inlineStr">
        <is>
          <t>Кириши, ш. Энтузиастов, 6А</t>
        </is>
      </c>
      <c r="C280" s="24">
        <f>HYPERLINK("https://www.avito.ru/kirishi/uslugi/priem_loma_priem_tsvetnogo_loma_priem_chermeta_8023831799","8023831799")</f>
        <v/>
      </c>
      <c r="D280" s="24" t="inlineStr">
        <is>
          <t>Цветмет</t>
        </is>
      </c>
      <c r="E280" s="25" t="n">
        <v>0</v>
      </c>
      <c r="F280" s="25" t="n">
        <v>0</v>
      </c>
      <c r="G280" s="26" t="n">
        <v>0</v>
      </c>
      <c r="H280" s="24" t="n">
        <v>0</v>
      </c>
      <c r="I280" s="24" t="n">
        <v>0</v>
      </c>
      <c r="J280" s="27" t="n">
        <v>0</v>
      </c>
      <c r="K280" s="28" t="n">
        <v>0</v>
      </c>
    </row>
    <row r="281">
      <c r="A281" s="23" t="inlineStr">
        <is>
          <t>Услуги</t>
        </is>
      </c>
      <c r="B281" s="7" t="inlineStr">
        <is>
          <t>Сертолово, Песочная ул., 8к1</t>
        </is>
      </c>
      <c r="C281" s="24">
        <f>HYPERLINK("https://www.avito.ru/sertolovo/uslugi/priem_metalloloma_priem_chernogo_loma_opt_8023841626","8023841626")</f>
        <v/>
      </c>
      <c r="D281" s="24" t="inlineStr">
        <is>
          <t>Чермет</t>
        </is>
      </c>
      <c r="E281" s="25" t="n">
        <v>0</v>
      </c>
      <c r="F281" s="25" t="n">
        <v>0</v>
      </c>
      <c r="G281" s="26" t="n">
        <v>0</v>
      </c>
      <c r="H281" s="24" t="n">
        <v>0</v>
      </c>
      <c r="I281" s="24" t="n">
        <v>0</v>
      </c>
      <c r="J281" s="27" t="n">
        <v>0</v>
      </c>
      <c r="K281" s="28" t="n">
        <v>0</v>
      </c>
    </row>
    <row r="282">
      <c r="A282" s="29" t="inlineStr">
        <is>
          <t>Услуги</t>
        </is>
      </c>
      <c r="B282" s="12" t="inlineStr">
        <is>
          <t>Шлиссельбург, ул. Красный Тракт, 7А</t>
        </is>
      </c>
      <c r="C282" s="30">
        <f>HYPERLINK("https://www.avito.ru/shlisselburg/uslugi/priem_tsvetnogo_metalloloma_8023870042","8023870042")</f>
        <v/>
      </c>
      <c r="D282" s="30" t="inlineStr">
        <is>
          <t>Цветмет</t>
        </is>
      </c>
      <c r="E282" s="31" t="n">
        <v>0</v>
      </c>
      <c r="F282" s="31" t="n">
        <v>0</v>
      </c>
      <c r="G282" s="32" t="n">
        <v>0</v>
      </c>
      <c r="H282" s="30" t="n">
        <v>0</v>
      </c>
      <c r="I282" s="30" t="n">
        <v>0</v>
      </c>
      <c r="J282" s="33" t="n">
        <v>0</v>
      </c>
      <c r="K282" s="34" t="n">
        <v>0</v>
      </c>
    </row>
  </sheetData>
  <autoFilter ref="A1:K2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9.44" customWidth="1" min="2" max="2"/>
    <col width="17.33" customWidth="1" min="3" max="3"/>
    <col width="18.33" customWidth="1" min="4" max="4"/>
    <col width="17.55" customWidth="1" min="5" max="5"/>
    <col width="18" customWidth="1" min="6" max="6"/>
    <col width="13.89" customWidth="1" min="7" max="7"/>
    <col width="17.33" customWidth="1" min="8" max="8"/>
    <col width="17" customWidth="1" min="9" max="9"/>
    <col width="62.44" customWidth="1" min="10" max="10"/>
  </cols>
  <sheetData>
    <row r="1">
      <c r="A1" s="1" t="inlineStr">
        <is>
          <t>Неделя</t>
        </is>
      </c>
      <c r="B1" s="2" t="inlineStr">
        <is>
          <t>Период</t>
        </is>
      </c>
      <c r="C1" s="2" t="inlineStr">
        <is>
          <t>Просмотры</t>
        </is>
      </c>
      <c r="D1" s="2" t="inlineStr">
        <is>
          <t>Конверсия из просмотров в контакты</t>
        </is>
      </c>
      <c r="E1" s="2" t="inlineStr">
        <is>
          <t>Контакты</t>
        </is>
      </c>
      <c r="F1" s="2" t="inlineStr">
        <is>
          <t>Средняя цена контакта</t>
        </is>
      </c>
      <c r="G1" s="2" t="inlineStr">
        <is>
          <t>Звонки</t>
        </is>
      </c>
      <c r="H1" s="2" t="inlineStr">
        <is>
          <t>Написали в чат</t>
        </is>
      </c>
      <c r="I1" s="2" t="inlineStr">
        <is>
          <t>Расходы на объявления</t>
        </is>
      </c>
      <c r="J1" s="3" t="inlineStr">
        <is>
          <t>Комментарий</t>
        </is>
      </c>
    </row>
    <row r="2">
      <c r="A2" s="29" t="inlineStr"/>
      <c r="B2" s="30" t="inlineStr">
        <is>
          <t>01.03 - 13.03</t>
        </is>
      </c>
      <c r="C2" s="31" t="n">
        <v>5418</v>
      </c>
      <c r="D2" s="32" t="n">
        <v>0.03746770025839793</v>
      </c>
      <c r="E2" s="31" t="n">
        <v>203</v>
      </c>
      <c r="F2" s="35" t="n">
        <v>96</v>
      </c>
      <c r="G2" s="31" t="n">
        <v>115</v>
      </c>
      <c r="H2" s="31" t="n">
        <v>82</v>
      </c>
      <c r="I2" s="35" t="n">
        <v>119003</v>
      </c>
      <c r="J2" s="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2026-03-13T19:18:08Z</dcterms:created>
  <dcterms:modified xsi:type="dcterms:W3CDTF">2026-03-13T19:18:09Z</dcterms:modified>
</cp:coreProperties>
</file>